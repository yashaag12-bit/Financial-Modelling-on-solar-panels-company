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8"/>
  <workbookPr defaultThemeVersion="124226"/>
  <mc:AlternateContent xmlns:mc="http://schemas.openxmlformats.org/markup-compatibility/2006">
    <mc:Choice Requires="x15">
      <x15ac:absPath xmlns:x15ac="http://schemas.microsoft.com/office/spreadsheetml/2010/11/ac" url="C:\Users\yasha\Downloads\"/>
    </mc:Choice>
  </mc:AlternateContent>
  <xr:revisionPtr revIDLastSave="0" documentId="8_{8CE0580F-49F0-460D-BAA0-BE832465F9D6}" xr6:coauthVersionLast="47" xr6:coauthVersionMax="47" xr10:uidLastSave="{00000000-0000-0000-0000-000000000000}"/>
  <bookViews>
    <workbookView xWindow="-108" yWindow="-108" windowWidth="23256" windowHeight="13896" firstSheet="3" activeTab="7" xr2:uid="{00000000-000D-0000-FFFF-FFFF00000000}"/>
  </bookViews>
  <sheets>
    <sheet name="About us " sheetId="9" r:id="rId1"/>
    <sheet name="Index" sheetId="7" r:id="rId2"/>
    <sheet name="Assumption" sheetId="2" r:id="rId3"/>
    <sheet name="Schedules" sheetId="6" r:id="rId4"/>
    <sheet name="Income Statement" sheetId="3" r:id="rId5"/>
    <sheet name="Balance Sheet" sheetId="4" r:id="rId6"/>
    <sheet name="Cash Flow Statement" sheetId="5" r:id="rId7"/>
    <sheet name="Output Analysis-NPV_IRR" sheetId="8" r:id="rId8"/>
    <sheet name="References" sheetId="10"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9" i="8" l="1"/>
  <c r="F9" i="8"/>
  <c r="G9" i="8"/>
  <c r="H9" i="8"/>
  <c r="I9" i="8"/>
  <c r="D9" i="8"/>
  <c r="H76" i="6"/>
  <c r="G76" i="6"/>
  <c r="C28" i="8"/>
  <c r="C26" i="8"/>
  <c r="C25" i="8"/>
  <c r="C23" i="8"/>
  <c r="G39" i="6"/>
  <c r="H39" i="6" s="1"/>
  <c r="G31" i="6"/>
  <c r="C74" i="6"/>
  <c r="I74" i="6" s="1"/>
  <c r="C73" i="6"/>
  <c r="G73" i="6" s="1"/>
  <c r="C72" i="6"/>
  <c r="I72" i="6" s="1"/>
  <c r="F20" i="6"/>
  <c r="G20" i="6" s="1"/>
  <c r="H20" i="6" s="1"/>
  <c r="I20" i="6" s="1"/>
  <c r="J20" i="6" s="1"/>
  <c r="K20" i="6" s="1"/>
  <c r="F15" i="6"/>
  <c r="G15" i="6" s="1"/>
  <c r="H15" i="6" s="1"/>
  <c r="I15" i="6" s="1"/>
  <c r="J15" i="6" s="1"/>
  <c r="K15" i="6" s="1"/>
  <c r="D80" i="2"/>
  <c r="D83" i="2" s="1"/>
  <c r="F19" i="6" s="1"/>
  <c r="D86" i="2"/>
  <c r="D87" i="2" s="1"/>
  <c r="I76" i="6" l="1"/>
  <c r="J76" i="6"/>
  <c r="H31" i="6"/>
  <c r="I39" i="6"/>
  <c r="F21" i="6"/>
  <c r="F36" i="6" s="1"/>
  <c r="H74" i="6"/>
  <c r="J73" i="6"/>
  <c r="F73" i="6"/>
  <c r="C76" i="6"/>
  <c r="H72" i="6"/>
  <c r="K74" i="6"/>
  <c r="G74" i="6"/>
  <c r="I73" i="6"/>
  <c r="K72" i="6"/>
  <c r="G72" i="6"/>
  <c r="J74" i="6"/>
  <c r="F74" i="6"/>
  <c r="H73" i="6"/>
  <c r="J72" i="6"/>
  <c r="F72" i="6"/>
  <c r="K73" i="6"/>
  <c r="G19" i="6"/>
  <c r="E49" i="2"/>
  <c r="E50" i="2"/>
  <c r="D55" i="2"/>
  <c r="D58" i="2" s="1"/>
  <c r="D61" i="2"/>
  <c r="D65" i="2" s="1"/>
  <c r="O33" i="2"/>
  <c r="O34" i="2"/>
  <c r="O35" i="2"/>
  <c r="C42" i="2"/>
  <c r="C11" i="2"/>
  <c r="C18" i="2"/>
  <c r="F28" i="8"/>
  <c r="K76" i="6" l="1"/>
  <c r="J39" i="6"/>
  <c r="I31" i="6"/>
  <c r="F37" i="6"/>
  <c r="F41" i="6" s="1"/>
  <c r="F22" i="6"/>
  <c r="F76" i="6"/>
  <c r="H19" i="6"/>
  <c r="G21" i="6"/>
  <c r="G36" i="6" s="1"/>
  <c r="F14" i="6"/>
  <c r="F28" i="6" s="1"/>
  <c r="F29" i="6" s="1"/>
  <c r="F33" i="6" s="1"/>
  <c r="C153" i="6"/>
  <c r="C152" i="6"/>
  <c r="C20" i="8" s="1"/>
  <c r="F141" i="6"/>
  <c r="F131" i="6"/>
  <c r="F125" i="6"/>
  <c r="F44" i="6" l="1"/>
  <c r="F30" i="6"/>
  <c r="F32" i="6" s="1"/>
  <c r="G37" i="6"/>
  <c r="G41" i="6" s="1"/>
  <c r="F38" i="6"/>
  <c r="F40" i="6" s="1"/>
  <c r="K39" i="6"/>
  <c r="J31" i="6"/>
  <c r="G22" i="6"/>
  <c r="F16" i="6"/>
  <c r="G16" i="6" s="1"/>
  <c r="H16" i="6" s="1"/>
  <c r="I19" i="6"/>
  <c r="H21" i="6"/>
  <c r="H36" i="6" s="1"/>
  <c r="D24" i="5"/>
  <c r="E146" i="6"/>
  <c r="C19" i="8" s="1"/>
  <c r="C21" i="8" s="1"/>
  <c r="C92" i="6"/>
  <c r="F85" i="6"/>
  <c r="F79" i="6"/>
  <c r="B73" i="6"/>
  <c r="B74" i="6"/>
  <c r="B72" i="6"/>
  <c r="C93" i="6"/>
  <c r="F3" i="6"/>
  <c r="D93" i="6"/>
  <c r="D92" i="6"/>
  <c r="G24" i="6" l="1"/>
  <c r="E5" i="3" s="1"/>
  <c r="F24" i="6"/>
  <c r="D5" i="3" s="1"/>
  <c r="F43" i="6"/>
  <c r="G38" i="6"/>
  <c r="G40" i="6" s="1"/>
  <c r="H37" i="6"/>
  <c r="H41" i="6" s="1"/>
  <c r="K31" i="6"/>
  <c r="D6" i="3"/>
  <c r="H14" i="6"/>
  <c r="H28" i="6" s="1"/>
  <c r="H29" i="6" s="1"/>
  <c r="H22" i="6"/>
  <c r="H24" i="6" s="1"/>
  <c r="F5" i="3" s="1"/>
  <c r="G14" i="6"/>
  <c r="G28" i="6" s="1"/>
  <c r="G29" i="6" s="1"/>
  <c r="I16" i="6"/>
  <c r="I21" i="6"/>
  <c r="I36" i="6" s="1"/>
  <c r="J19" i="6"/>
  <c r="D109" i="6"/>
  <c r="D105" i="6" s="1"/>
  <c r="E118" i="6" s="1"/>
  <c r="F4" i="6"/>
  <c r="I37" i="6" l="1"/>
  <c r="I41" i="6" s="1"/>
  <c r="G30" i="6"/>
  <c r="G32" i="6" s="1"/>
  <c r="G43" i="6" s="1"/>
  <c r="G33" i="6"/>
  <c r="G44" i="6" s="1"/>
  <c r="G62" i="6" s="1"/>
  <c r="E11" i="4" s="1"/>
  <c r="H38" i="6"/>
  <c r="H40" i="6" s="1"/>
  <c r="H33" i="6"/>
  <c r="H44" i="6" s="1"/>
  <c r="H30" i="6"/>
  <c r="H32" i="6" s="1"/>
  <c r="J16" i="6"/>
  <c r="I14" i="6"/>
  <c r="I28" i="6" s="1"/>
  <c r="I29" i="6" s="1"/>
  <c r="K19" i="6"/>
  <c r="K21" i="6" s="1"/>
  <c r="K36" i="6" s="1"/>
  <c r="J21" i="6"/>
  <c r="J36" i="6" s="1"/>
  <c r="I22" i="6"/>
  <c r="I24" i="6" s="1"/>
  <c r="G5" i="3" s="1"/>
  <c r="F62" i="6"/>
  <c r="D11" i="4" s="1"/>
  <c r="F49" i="6"/>
  <c r="F47" i="6"/>
  <c r="F50" i="6"/>
  <c r="F48" i="6"/>
  <c r="F8" i="6"/>
  <c r="F7" i="6"/>
  <c r="D107" i="6"/>
  <c r="E122" i="6" s="1"/>
  <c r="D106" i="6"/>
  <c r="F6" i="6"/>
  <c r="G3" i="6"/>
  <c r="I38" i="6" l="1"/>
  <c r="I40" i="6" s="1"/>
  <c r="H43" i="6"/>
  <c r="J37" i="6"/>
  <c r="J41" i="6" s="1"/>
  <c r="K37" i="6"/>
  <c r="K41" i="6" s="1"/>
  <c r="I33" i="6"/>
  <c r="I44" i="6" s="1"/>
  <c r="I30" i="6"/>
  <c r="I32" i="6" s="1"/>
  <c r="K16" i="6"/>
  <c r="J14" i="6"/>
  <c r="J28" i="6" s="1"/>
  <c r="J29" i="6" s="1"/>
  <c r="G47" i="6"/>
  <c r="E6" i="3"/>
  <c r="E139" i="6"/>
  <c r="E114" i="6"/>
  <c r="J22" i="6"/>
  <c r="J24" i="6" s="1"/>
  <c r="H5" i="3" s="1"/>
  <c r="K22" i="6"/>
  <c r="F9" i="6"/>
  <c r="F92" i="6" s="1"/>
  <c r="G49" i="6"/>
  <c r="G48" i="6"/>
  <c r="H62" i="6"/>
  <c r="F11" i="4" s="1"/>
  <c r="F80" i="6"/>
  <c r="F81" i="6" s="1"/>
  <c r="H12" i="5"/>
  <c r="H13" i="5" s="1"/>
  <c r="I80" i="6"/>
  <c r="K80" i="6"/>
  <c r="E12" i="5"/>
  <c r="E13" i="5" s="1"/>
  <c r="J80" i="6"/>
  <c r="G80" i="6"/>
  <c r="G109" i="6"/>
  <c r="F10" i="6"/>
  <c r="F153" i="6" s="1"/>
  <c r="J109" i="6"/>
  <c r="F54" i="6"/>
  <c r="F55" i="6"/>
  <c r="F56" i="6"/>
  <c r="H109" i="6"/>
  <c r="F12" i="5"/>
  <c r="F13" i="5" s="1"/>
  <c r="H80" i="6"/>
  <c r="F61" i="6"/>
  <c r="D12" i="4" s="1"/>
  <c r="I109" i="6"/>
  <c r="G12" i="5"/>
  <c r="G13" i="5" s="1"/>
  <c r="F109" i="6"/>
  <c r="D12" i="5"/>
  <c r="D13" i="5" s="1"/>
  <c r="K109" i="6"/>
  <c r="I12" i="5"/>
  <c r="I13" i="5" s="1"/>
  <c r="G4" i="6"/>
  <c r="K24" i="6" l="1"/>
  <c r="I5" i="3" s="1"/>
  <c r="I43" i="6"/>
  <c r="G6" i="3" s="1"/>
  <c r="K38" i="6"/>
  <c r="K40" i="6" s="1"/>
  <c r="J33" i="6"/>
  <c r="J44" i="6" s="1"/>
  <c r="J30" i="6"/>
  <c r="J32" i="6" s="1"/>
  <c r="J38" i="6"/>
  <c r="J40" i="6" s="1"/>
  <c r="G50" i="6"/>
  <c r="F6" i="3"/>
  <c r="K14" i="6"/>
  <c r="K28" i="6" s="1"/>
  <c r="K29" i="6" s="1"/>
  <c r="F93" i="6"/>
  <c r="F98" i="6" s="1"/>
  <c r="H49" i="6"/>
  <c r="H47" i="6"/>
  <c r="H48" i="6"/>
  <c r="I62" i="6"/>
  <c r="G11" i="4" s="1"/>
  <c r="G8" i="6"/>
  <c r="H3" i="6"/>
  <c r="H4" i="6" s="1"/>
  <c r="G7" i="6"/>
  <c r="F57" i="6"/>
  <c r="D9" i="3" s="1"/>
  <c r="F113" i="6"/>
  <c r="G6" i="6"/>
  <c r="F137" i="6"/>
  <c r="F82" i="6"/>
  <c r="D7" i="4" s="1"/>
  <c r="F86" i="6"/>
  <c r="F88" i="6" s="1"/>
  <c r="J43" i="6" l="1"/>
  <c r="H6" i="3" s="1"/>
  <c r="K30" i="6"/>
  <c r="K32" i="6" s="1"/>
  <c r="K43" i="6" s="1"/>
  <c r="I6" i="3" s="1"/>
  <c r="K33" i="6"/>
  <c r="K44" i="6" s="1"/>
  <c r="K62" i="6" s="1"/>
  <c r="I11" i="4" s="1"/>
  <c r="H50" i="6"/>
  <c r="I50" i="6"/>
  <c r="J62" i="6"/>
  <c r="H11" i="4" s="1"/>
  <c r="G9" i="6"/>
  <c r="G93" i="6" s="1"/>
  <c r="G98" i="6" s="1"/>
  <c r="H8" i="6"/>
  <c r="H7" i="6"/>
  <c r="G10" i="6"/>
  <c r="G153" i="6" s="1"/>
  <c r="F143" i="6"/>
  <c r="D18" i="5" s="1"/>
  <c r="F117" i="6"/>
  <c r="F126" i="6" s="1"/>
  <c r="F128" i="6" s="1"/>
  <c r="F142" i="6"/>
  <c r="D17" i="5" s="1"/>
  <c r="F114" i="6"/>
  <c r="G113" i="6" s="1"/>
  <c r="I3" i="6"/>
  <c r="I4" i="6" s="1"/>
  <c r="G54" i="6"/>
  <c r="G56" i="6"/>
  <c r="G55" i="6"/>
  <c r="H6" i="6"/>
  <c r="G79" i="6"/>
  <c r="G81" i="6" s="1"/>
  <c r="G61" i="6"/>
  <c r="E12" i="4" s="1"/>
  <c r="G85" i="6"/>
  <c r="F97" i="6"/>
  <c r="F99" i="6" s="1"/>
  <c r="F101" i="6" s="1"/>
  <c r="D6" i="4" s="1"/>
  <c r="F94" i="6"/>
  <c r="D12" i="3" s="1"/>
  <c r="D7" i="8" s="1"/>
  <c r="I47" i="6" l="1"/>
  <c r="I49" i="6"/>
  <c r="I48" i="6"/>
  <c r="J47" i="6"/>
  <c r="G125" i="6"/>
  <c r="D24" i="4"/>
  <c r="K49" i="6"/>
  <c r="K50" i="6"/>
  <c r="K48" i="6"/>
  <c r="K47" i="6"/>
  <c r="H9" i="6"/>
  <c r="H93" i="6" s="1"/>
  <c r="H98" i="6" s="1"/>
  <c r="I8" i="6"/>
  <c r="G92" i="6"/>
  <c r="G94" i="6" s="1"/>
  <c r="E12" i="3" s="1"/>
  <c r="E7" i="8" s="1"/>
  <c r="F121" i="6"/>
  <c r="F132" i="6" s="1"/>
  <c r="F134" i="6" s="1"/>
  <c r="D18" i="4" s="1"/>
  <c r="I6" i="6"/>
  <c r="I7" i="6"/>
  <c r="I9" i="6" s="1"/>
  <c r="H10" i="6"/>
  <c r="H153" i="6" s="1"/>
  <c r="G137" i="6"/>
  <c r="G143" i="6" s="1"/>
  <c r="E18" i="5" s="1"/>
  <c r="F144" i="6"/>
  <c r="G114" i="6"/>
  <c r="H113" i="6" s="1"/>
  <c r="G142" i="6"/>
  <c r="F118" i="6"/>
  <c r="G117" i="6" s="1"/>
  <c r="G126" i="6" s="1"/>
  <c r="E15" i="5" s="1"/>
  <c r="D15" i="5"/>
  <c r="F51" i="6"/>
  <c r="J3" i="6"/>
  <c r="J4" i="6" s="1"/>
  <c r="H56" i="6"/>
  <c r="H54" i="6"/>
  <c r="H55" i="6"/>
  <c r="G57" i="6"/>
  <c r="E9" i="3" s="1"/>
  <c r="H61" i="6"/>
  <c r="F12" i="4" s="1"/>
  <c r="G86" i="6"/>
  <c r="G88" i="6" s="1"/>
  <c r="H85" i="6" s="1"/>
  <c r="D7" i="5"/>
  <c r="J48" i="6" l="1"/>
  <c r="J50" i="6"/>
  <c r="J49" i="6"/>
  <c r="G141" i="6"/>
  <c r="G144" i="6" s="1"/>
  <c r="E17" i="4" s="1"/>
  <c r="D17" i="4"/>
  <c r="D15" i="3" s="1"/>
  <c r="F122" i="6"/>
  <c r="G121" i="6" s="1"/>
  <c r="G122" i="6" s="1"/>
  <c r="I93" i="6"/>
  <c r="I98" i="6" s="1"/>
  <c r="J8" i="6"/>
  <c r="I10" i="6"/>
  <c r="H137" i="6"/>
  <c r="H143" i="6" s="1"/>
  <c r="F18" i="5" s="1"/>
  <c r="K3" i="6"/>
  <c r="K4" i="6" s="1"/>
  <c r="J7" i="6"/>
  <c r="F146" i="6"/>
  <c r="F147" i="6" s="1"/>
  <c r="H114" i="6"/>
  <c r="I113" i="6" s="1"/>
  <c r="H142" i="6"/>
  <c r="G128" i="6"/>
  <c r="E24" i="4" s="1"/>
  <c r="F65" i="6"/>
  <c r="D21" i="4" s="1"/>
  <c r="G118" i="6"/>
  <c r="H117" i="6" s="1"/>
  <c r="H126" i="6" s="1"/>
  <c r="F15" i="5" s="1"/>
  <c r="D7" i="3"/>
  <c r="D10" i="3" s="1"/>
  <c r="D13" i="3" s="1"/>
  <c r="J6" i="6"/>
  <c r="I55" i="6"/>
  <c r="I54" i="6"/>
  <c r="I56" i="6"/>
  <c r="G82" i="6"/>
  <c r="E7" i="4" s="1"/>
  <c r="G97" i="6"/>
  <c r="E17" i="5"/>
  <c r="D19" i="5"/>
  <c r="H57" i="6"/>
  <c r="F9" i="3" s="1"/>
  <c r="I61" i="6"/>
  <c r="G12" i="4" s="1"/>
  <c r="E7" i="5"/>
  <c r="J9" i="6" l="1"/>
  <c r="J93" i="6" s="1"/>
  <c r="J98" i="6" s="1"/>
  <c r="J10" i="6"/>
  <c r="J153" i="6" s="1"/>
  <c r="I153" i="6"/>
  <c r="I137" i="6"/>
  <c r="I143" i="6" s="1"/>
  <c r="G18" i="5" s="1"/>
  <c r="K8" i="6"/>
  <c r="G99" i="6"/>
  <c r="G101" i="6" s="1"/>
  <c r="E6" i="4" s="1"/>
  <c r="H92" i="6"/>
  <c r="H94" i="6" s="1"/>
  <c r="F12" i="3" s="1"/>
  <c r="F7" i="8" s="1"/>
  <c r="K6" i="6"/>
  <c r="K7" i="6"/>
  <c r="H125" i="6"/>
  <c r="H128" i="6" s="1"/>
  <c r="D6" i="5"/>
  <c r="D20" i="5"/>
  <c r="D21" i="5" s="1"/>
  <c r="G146" i="6"/>
  <c r="G147" i="6" s="1"/>
  <c r="F67" i="6"/>
  <c r="F69" i="6" s="1"/>
  <c r="I114" i="6"/>
  <c r="J113" i="6" s="1"/>
  <c r="I142" i="6"/>
  <c r="K55" i="6"/>
  <c r="H118" i="6"/>
  <c r="D16" i="3"/>
  <c r="D17" i="3" s="1"/>
  <c r="D6" i="8" s="1"/>
  <c r="H79" i="6"/>
  <c r="H141" i="6"/>
  <c r="J54" i="6"/>
  <c r="J56" i="6"/>
  <c r="J55" i="6"/>
  <c r="G51" i="6"/>
  <c r="I57" i="6"/>
  <c r="G9" i="3" s="1"/>
  <c r="G131" i="6"/>
  <c r="J61" i="6"/>
  <c r="H12" i="4" s="1"/>
  <c r="G132" i="6"/>
  <c r="I125" i="6" l="1"/>
  <c r="F24" i="4"/>
  <c r="K9" i="6"/>
  <c r="K93" i="6" s="1"/>
  <c r="D8" i="5"/>
  <c r="D8" i="8"/>
  <c r="D11" i="8" s="1"/>
  <c r="H81" i="6"/>
  <c r="H86" i="6" s="1"/>
  <c r="H88" i="6" s="1"/>
  <c r="I85" i="6" s="1"/>
  <c r="K10" i="6"/>
  <c r="E15" i="3"/>
  <c r="E6" i="5"/>
  <c r="E20" i="5"/>
  <c r="D19" i="3"/>
  <c r="D21" i="3" s="1"/>
  <c r="D25" i="4" s="1"/>
  <c r="D27" i="4" s="1"/>
  <c r="K56" i="6"/>
  <c r="K61" i="6"/>
  <c r="I12" i="4" s="1"/>
  <c r="K54" i="6"/>
  <c r="J114" i="6"/>
  <c r="K113" i="6" s="1"/>
  <c r="J142" i="6"/>
  <c r="H17" i="5" s="1"/>
  <c r="J137" i="6"/>
  <c r="J143" i="6" s="1"/>
  <c r="H18" i="5" s="1"/>
  <c r="I117" i="6"/>
  <c r="I126" i="6" s="1"/>
  <c r="G15" i="5" s="1"/>
  <c r="H97" i="6"/>
  <c r="I92" i="6" s="1"/>
  <c r="H51" i="6"/>
  <c r="J57" i="6"/>
  <c r="H9" i="3" s="1"/>
  <c r="G65" i="6"/>
  <c r="E21" i="4" s="1"/>
  <c r="E7" i="3"/>
  <c r="E10" i="3" s="1"/>
  <c r="E13" i="3" s="1"/>
  <c r="G134" i="6"/>
  <c r="E18" i="4" s="1"/>
  <c r="E19" i="5"/>
  <c r="F7" i="5"/>
  <c r="H121" i="6"/>
  <c r="H122" i="6" s="1"/>
  <c r="H82" i="6" l="1"/>
  <c r="F7" i="4" s="1"/>
  <c r="K137" i="6"/>
  <c r="K143" i="6" s="1"/>
  <c r="I18" i="5" s="1"/>
  <c r="K153" i="6"/>
  <c r="E16" i="3"/>
  <c r="E17" i="3" s="1"/>
  <c r="E6" i="8" s="1"/>
  <c r="K57" i="6"/>
  <c r="I9" i="3" s="1"/>
  <c r="E21" i="5"/>
  <c r="K114" i="6"/>
  <c r="K142" i="6"/>
  <c r="I118" i="6"/>
  <c r="J117" i="6" s="1"/>
  <c r="J126" i="6" s="1"/>
  <c r="H15" i="5" s="1"/>
  <c r="H99" i="6"/>
  <c r="H101" i="6" s="1"/>
  <c r="F6" i="4" s="1"/>
  <c r="I128" i="6"/>
  <c r="G24" i="4" s="1"/>
  <c r="H65" i="6"/>
  <c r="F21" i="4" s="1"/>
  <c r="F7" i="3"/>
  <c r="F10" i="3" s="1"/>
  <c r="F13" i="3" s="1"/>
  <c r="I51" i="6"/>
  <c r="D5" i="5"/>
  <c r="D10" i="5" s="1"/>
  <c r="D23" i="5" s="1"/>
  <c r="D26" i="5" s="1"/>
  <c r="G67" i="6"/>
  <c r="G69" i="6" s="1"/>
  <c r="H132" i="6"/>
  <c r="F19" i="5" s="1"/>
  <c r="H144" i="6"/>
  <c r="F17" i="4" s="1"/>
  <c r="F17" i="5"/>
  <c r="H131" i="6"/>
  <c r="I121" i="6"/>
  <c r="I122" i="6" s="1"/>
  <c r="G17" i="5"/>
  <c r="I94" i="6"/>
  <c r="G12" i="3" s="1"/>
  <c r="G7" i="8" s="1"/>
  <c r="I97" i="6"/>
  <c r="J92" i="6" s="1"/>
  <c r="K98" i="6"/>
  <c r="I79" i="6" l="1"/>
  <c r="E8" i="5"/>
  <c r="E8" i="8"/>
  <c r="E11" i="8" s="1"/>
  <c r="E19" i="3"/>
  <c r="E5" i="5" s="1"/>
  <c r="I81" i="6"/>
  <c r="I86" i="6" s="1"/>
  <c r="I88" i="6" s="1"/>
  <c r="J85" i="6" s="1"/>
  <c r="D10" i="4"/>
  <c r="D14" i="4" s="1"/>
  <c r="H67" i="6"/>
  <c r="H69" i="6" s="1"/>
  <c r="J118" i="6"/>
  <c r="K117" i="6" s="1"/>
  <c r="J125" i="6"/>
  <c r="J128" i="6" s="1"/>
  <c r="H24" i="4" s="1"/>
  <c r="I65" i="6"/>
  <c r="G21" i="4" s="1"/>
  <c r="G7" i="3"/>
  <c r="G10" i="3" s="1"/>
  <c r="G13" i="3" s="1"/>
  <c r="J51" i="6"/>
  <c r="K51" i="6"/>
  <c r="H134" i="6"/>
  <c r="F18" i="4" s="1"/>
  <c r="I141" i="6"/>
  <c r="I144" i="6" s="1"/>
  <c r="G17" i="4" s="1"/>
  <c r="H146" i="6"/>
  <c r="H147" i="6" s="1"/>
  <c r="I132" i="6"/>
  <c r="J121" i="6"/>
  <c r="J132" i="6" s="1"/>
  <c r="H19" i="5" s="1"/>
  <c r="G7" i="5"/>
  <c r="J97" i="6"/>
  <c r="K92" i="6" s="1"/>
  <c r="I99" i="6"/>
  <c r="D29" i="4" l="1"/>
  <c r="E10" i="5"/>
  <c r="E23" i="5" s="1"/>
  <c r="F8" i="5"/>
  <c r="F8" i="8"/>
  <c r="E21" i="3"/>
  <c r="E25" i="4" s="1"/>
  <c r="E27" i="4" s="1"/>
  <c r="I82" i="6"/>
  <c r="G7" i="4" s="1"/>
  <c r="I101" i="6"/>
  <c r="G6" i="4" s="1"/>
  <c r="F15" i="3"/>
  <c r="F16" i="3" s="1"/>
  <c r="F17" i="3" s="1"/>
  <c r="F6" i="8" s="1"/>
  <c r="F11" i="8" s="1"/>
  <c r="F20" i="5"/>
  <c r="F21" i="5" s="1"/>
  <c r="F6" i="5"/>
  <c r="E24" i="5"/>
  <c r="I131" i="6"/>
  <c r="I134" i="6" s="1"/>
  <c r="G18" i="4" s="1"/>
  <c r="J122" i="6"/>
  <c r="K121" i="6" s="1"/>
  <c r="K125" i="6"/>
  <c r="K118" i="6"/>
  <c r="K126" i="6"/>
  <c r="I15" i="5" s="1"/>
  <c r="J141" i="6"/>
  <c r="J144" i="6" s="1"/>
  <c r="H17" i="4" s="1"/>
  <c r="H7" i="3"/>
  <c r="H10" i="3" s="1"/>
  <c r="J65" i="6"/>
  <c r="H21" i="4" s="1"/>
  <c r="I67" i="6"/>
  <c r="I69" i="6" s="1"/>
  <c r="I7" i="3"/>
  <c r="I10" i="3" s="1"/>
  <c r="K65" i="6"/>
  <c r="I21" i="4" s="1"/>
  <c r="I146" i="6"/>
  <c r="I147" i="6" s="1"/>
  <c r="I17" i="5"/>
  <c r="G19" i="5"/>
  <c r="J99" i="6"/>
  <c r="K97" i="6"/>
  <c r="K99" i="6" s="1"/>
  <c r="J94" i="6"/>
  <c r="H12" i="3" s="1"/>
  <c r="H7" i="8" s="1"/>
  <c r="E26" i="5" l="1"/>
  <c r="E10" i="4" s="1"/>
  <c r="E14" i="4" s="1"/>
  <c r="J79" i="6"/>
  <c r="J81" i="6" s="1"/>
  <c r="J86" i="6" s="1"/>
  <c r="J88" i="6" s="1"/>
  <c r="G8" i="5"/>
  <c r="G8" i="8"/>
  <c r="F19" i="3"/>
  <c r="F21" i="3" s="1"/>
  <c r="F25" i="4" s="1"/>
  <c r="F27" i="4" s="1"/>
  <c r="G15" i="3"/>
  <c r="G16" i="3" s="1"/>
  <c r="G17" i="3" s="1"/>
  <c r="G6" i="8" s="1"/>
  <c r="G20" i="5"/>
  <c r="G21" i="5" s="1"/>
  <c r="G6" i="5"/>
  <c r="J146" i="6"/>
  <c r="J147" i="6" s="1"/>
  <c r="K122" i="6"/>
  <c r="K141" i="6"/>
  <c r="K144" i="6" s="1"/>
  <c r="I17" i="4" s="1"/>
  <c r="J67" i="6"/>
  <c r="J69" i="6" s="1"/>
  <c r="H13" i="3"/>
  <c r="K128" i="6"/>
  <c r="I24" i="4" s="1"/>
  <c r="K67" i="6"/>
  <c r="J131" i="6"/>
  <c r="J134" i="6" s="1"/>
  <c r="H18" i="4" s="1"/>
  <c r="K132" i="6"/>
  <c r="H7" i="5"/>
  <c r="K94" i="6"/>
  <c r="I12" i="3" s="1"/>
  <c r="E29" i="4" l="1"/>
  <c r="F24" i="5"/>
  <c r="F5" i="5"/>
  <c r="F10" i="5" s="1"/>
  <c r="F23" i="5" s="1"/>
  <c r="G11" i="8"/>
  <c r="I13" i="3"/>
  <c r="I7" i="8"/>
  <c r="H8" i="5"/>
  <c r="H8" i="8"/>
  <c r="J82" i="6"/>
  <c r="H7" i="4" s="1"/>
  <c r="K85" i="6"/>
  <c r="J101" i="6"/>
  <c r="H6" i="4" s="1"/>
  <c r="H15" i="3"/>
  <c r="H16" i="3" s="1"/>
  <c r="H17" i="3" s="1"/>
  <c r="H6" i="8" s="1"/>
  <c r="H20" i="5"/>
  <c r="H21" i="5" s="1"/>
  <c r="H6" i="5"/>
  <c r="G19" i="3"/>
  <c r="G21" i="3" s="1"/>
  <c r="G25" i="4" s="1"/>
  <c r="G27" i="4" s="1"/>
  <c r="K146" i="6"/>
  <c r="K147" i="6" s="1"/>
  <c r="K69" i="6"/>
  <c r="K131" i="6"/>
  <c r="K134" i="6" s="1"/>
  <c r="I18" i="4" s="1"/>
  <c r="I19" i="5"/>
  <c r="I7" i="5"/>
  <c r="F26" i="5" l="1"/>
  <c r="F10" i="4" s="1"/>
  <c r="F14" i="4" s="1"/>
  <c r="K79" i="6"/>
  <c r="K81" i="6" s="1"/>
  <c r="K86" i="6" s="1"/>
  <c r="K88" i="6" s="1"/>
  <c r="K101" i="6" s="1"/>
  <c r="I6" i="4" s="1"/>
  <c r="H11" i="8"/>
  <c r="I8" i="5"/>
  <c r="I8" i="8"/>
  <c r="I15" i="3"/>
  <c r="I16" i="3" s="1"/>
  <c r="I17" i="3" s="1"/>
  <c r="I6" i="8" s="1"/>
  <c r="I6" i="5"/>
  <c r="I20" i="5"/>
  <c r="I21" i="5" s="1"/>
  <c r="G5" i="5"/>
  <c r="G10" i="5" s="1"/>
  <c r="G23" i="5" s="1"/>
  <c r="H19" i="3"/>
  <c r="H21" i="3" s="1"/>
  <c r="H25" i="4" s="1"/>
  <c r="H27" i="4" s="1"/>
  <c r="F29" i="4" l="1"/>
  <c r="G24" i="5"/>
  <c r="I11" i="8"/>
  <c r="D13" i="8" s="1"/>
  <c r="K82" i="6"/>
  <c r="I7" i="4" s="1"/>
  <c r="I19" i="3"/>
  <c r="I21" i="3" s="1"/>
  <c r="I25" i="4" s="1"/>
  <c r="I27" i="4" s="1"/>
  <c r="H5" i="5"/>
  <c r="H10" i="5" s="1"/>
  <c r="H23" i="5" s="1"/>
  <c r="C30" i="8" l="1"/>
  <c r="G26" i="5"/>
  <c r="G10" i="4" s="1"/>
  <c r="G14" i="4" s="1"/>
  <c r="G29" i="4" s="1"/>
  <c r="I5" i="5"/>
  <c r="I10" i="5" s="1"/>
  <c r="I23" i="5" s="1"/>
  <c r="H24" i="5" l="1"/>
  <c r="H26" i="5" s="1"/>
  <c r="H10" i="4" s="1"/>
  <c r="H14" i="4" s="1"/>
  <c r="H29" i="4" s="1"/>
  <c r="I24" i="5" l="1"/>
  <c r="I26" i="5" l="1"/>
  <c r="I10" i="4" s="1"/>
  <c r="I14" i="4" s="1"/>
  <c r="I29" i="4" s="1"/>
</calcChain>
</file>

<file path=xl/sharedStrings.xml><?xml version="1.0" encoding="utf-8"?>
<sst xmlns="http://schemas.openxmlformats.org/spreadsheetml/2006/main" count="325" uniqueCount="251">
  <si>
    <t xml:space="preserve">Team Members </t>
  </si>
  <si>
    <t xml:space="preserve">Owner's Id </t>
  </si>
  <si>
    <t>Aditi Agrawal</t>
  </si>
  <si>
    <t>DM253005</t>
  </si>
  <si>
    <t>Ayush Gautam</t>
  </si>
  <si>
    <t>DM251023</t>
  </si>
  <si>
    <t>Manshi Chandak</t>
  </si>
  <si>
    <t>DM254036</t>
  </si>
  <si>
    <t xml:space="preserve">Mayank Khandelwal </t>
  </si>
  <si>
    <t>DM252040</t>
  </si>
  <si>
    <t>N. Pravena</t>
  </si>
  <si>
    <t>DM253047</t>
  </si>
  <si>
    <t>Subhrajyoti Sen Chaudhuri</t>
  </si>
  <si>
    <t>DM254074</t>
  </si>
  <si>
    <t>V V Chanikya</t>
  </si>
  <si>
    <t>DM251084</t>
  </si>
  <si>
    <t xml:space="preserve">Yash Agarwal </t>
  </si>
  <si>
    <t>DM253085</t>
  </si>
  <si>
    <t>Sl no</t>
  </si>
  <si>
    <t>Sheet</t>
  </si>
  <si>
    <t>All amounts in Rupees otherwise stated</t>
  </si>
  <si>
    <r>
      <rPr>
        <i/>
        <sz val="11"/>
        <color rgb="FF000000"/>
        <rFont val="Calibri"/>
        <family val="2"/>
        <scheme val="minor"/>
      </rPr>
      <t xml:space="preserve">All inputs in colour </t>
    </r>
    <r>
      <rPr>
        <i/>
        <sz val="11"/>
        <color rgb="FFFF0000"/>
        <rFont val="Calibri"/>
        <family val="2"/>
        <scheme val="minor"/>
      </rPr>
      <t>RED</t>
    </r>
  </si>
  <si>
    <t>Project Duration</t>
  </si>
  <si>
    <t>Project Start Date</t>
  </si>
  <si>
    <t xml:space="preserve">Forecast End </t>
  </si>
  <si>
    <t>Cost of Goods Sold</t>
  </si>
  <si>
    <t>per ut</t>
  </si>
  <si>
    <t>Material Cost</t>
  </si>
  <si>
    <t>Manufacturing cost</t>
  </si>
  <si>
    <t>R&amp;D</t>
  </si>
  <si>
    <t>Transportation and Logistics</t>
  </si>
  <si>
    <t>Operating Expenses</t>
  </si>
  <si>
    <t>as a % of Sales</t>
  </si>
  <si>
    <t>Sales and Marketing</t>
  </si>
  <si>
    <t>Employee Cost</t>
  </si>
  <si>
    <t>Other Expenses</t>
  </si>
  <si>
    <t>*Sales &amp; Marketing Cost includes Advertising, promotions and sales staff costs</t>
  </si>
  <si>
    <t xml:space="preserve">Income Tax Rate </t>
  </si>
  <si>
    <t xml:space="preserve">Tax holiday </t>
  </si>
  <si>
    <t>Capex</t>
  </si>
  <si>
    <t>Value</t>
  </si>
  <si>
    <t>Dep(%)</t>
  </si>
  <si>
    <t>Scrap(%)</t>
  </si>
  <si>
    <t>Capex Schedule</t>
  </si>
  <si>
    <t>Year1</t>
  </si>
  <si>
    <t>Year2</t>
  </si>
  <si>
    <t>Year3</t>
  </si>
  <si>
    <t>Year4</t>
  </si>
  <si>
    <t>Year5</t>
  </si>
  <si>
    <t>Year 6</t>
  </si>
  <si>
    <t>Land</t>
  </si>
  <si>
    <t>Building</t>
  </si>
  <si>
    <t>Machinery</t>
  </si>
  <si>
    <t xml:space="preserve"> </t>
  </si>
  <si>
    <t>Capital Structure</t>
  </si>
  <si>
    <t xml:space="preserve">Equity </t>
  </si>
  <si>
    <t xml:space="preserve">Debt Period  in yrs </t>
  </si>
  <si>
    <t xml:space="preserve">Debt </t>
  </si>
  <si>
    <t xml:space="preserve">Moratorium Period </t>
  </si>
  <si>
    <t xml:space="preserve">Grants </t>
  </si>
  <si>
    <t>LT Interest Rates</t>
  </si>
  <si>
    <t>Working Capital</t>
  </si>
  <si>
    <t>Inventory</t>
  </si>
  <si>
    <t>% of uts sold</t>
  </si>
  <si>
    <t>Commercial</t>
  </si>
  <si>
    <t>Residential</t>
  </si>
  <si>
    <t>Receivables for commercial</t>
  </si>
  <si>
    <t>Days</t>
  </si>
  <si>
    <t>Payables</t>
  </si>
  <si>
    <t>Revenue</t>
  </si>
  <si>
    <t>Commercial Project</t>
  </si>
  <si>
    <t>Area</t>
  </si>
  <si>
    <t>sq ft</t>
  </si>
  <si>
    <t>Conversion to Sq Meter</t>
  </si>
  <si>
    <t>sq mt</t>
  </si>
  <si>
    <t>Average Consumption</t>
  </si>
  <si>
    <t>kwh sq m</t>
  </si>
  <si>
    <t>Average Yearly consumption</t>
  </si>
  <si>
    <t>kwh</t>
  </si>
  <si>
    <t>Panel Capacity</t>
  </si>
  <si>
    <t>w</t>
  </si>
  <si>
    <t>Conversion to Kilowatt</t>
  </si>
  <si>
    <t>kw</t>
  </si>
  <si>
    <t>Sunheat Per day</t>
  </si>
  <si>
    <t>hours</t>
  </si>
  <si>
    <t>Energy per panel per year</t>
  </si>
  <si>
    <t>No. of panel</t>
  </si>
  <si>
    <t>Price of 1 panel</t>
  </si>
  <si>
    <t>Total Revenue</t>
  </si>
  <si>
    <t xml:space="preserve">Sun Heat </t>
  </si>
  <si>
    <t>India growth in the solar installation is last 9 year</t>
  </si>
  <si>
    <t>times</t>
  </si>
  <si>
    <t xml:space="preserve">CAGR </t>
  </si>
  <si>
    <t>Gujarat  solar energy consumption</t>
  </si>
  <si>
    <t>82%</t>
  </si>
  <si>
    <t xml:space="preserve">% contribution by the residential </t>
  </si>
  <si>
    <t>watt</t>
  </si>
  <si>
    <t>Indian Per Year Target</t>
  </si>
  <si>
    <t>GW</t>
  </si>
  <si>
    <t>Conversion to KW</t>
  </si>
  <si>
    <t>Growth in the energy sold</t>
  </si>
  <si>
    <t>Unit of Panels for Residential</t>
  </si>
  <si>
    <t>Units Sold</t>
  </si>
  <si>
    <t>Cost</t>
  </si>
  <si>
    <t>COGS Unit</t>
  </si>
  <si>
    <t>Total Cost</t>
  </si>
  <si>
    <t>Inventory Cost</t>
  </si>
  <si>
    <t>Total Cogs</t>
  </si>
  <si>
    <t>Total Inventory</t>
  </si>
  <si>
    <t>Handover Flag</t>
  </si>
  <si>
    <t>Operation Flag</t>
  </si>
  <si>
    <t>Count- Operational Year</t>
  </si>
  <si>
    <t>Revenue Schedule</t>
  </si>
  <si>
    <t>Operating Expense Schedule</t>
  </si>
  <si>
    <t>Working Capital Schedule</t>
  </si>
  <si>
    <t>Account Receivables</t>
  </si>
  <si>
    <t>Current Liabilities</t>
  </si>
  <si>
    <t>Net Current Asset</t>
  </si>
  <si>
    <t>Change in Working Capital</t>
  </si>
  <si>
    <t>Total Capex required</t>
  </si>
  <si>
    <t>Capital WIP</t>
  </si>
  <si>
    <t>Opening Balance</t>
  </si>
  <si>
    <t>Additions</t>
  </si>
  <si>
    <t>Deletions</t>
  </si>
  <si>
    <t>Closing Balance</t>
  </si>
  <si>
    <t>Gross Fixed Assets</t>
  </si>
  <si>
    <t>Depreciation Schedule</t>
  </si>
  <si>
    <t>Remaining Value</t>
  </si>
  <si>
    <t>Depreciation Rate</t>
  </si>
  <si>
    <t>Total Annual Dep</t>
  </si>
  <si>
    <t>Accumulated Depreciation</t>
  </si>
  <si>
    <t>Total Accumulated Dep</t>
  </si>
  <si>
    <t>Net Fixed Assets</t>
  </si>
  <si>
    <t>Finance Structure</t>
  </si>
  <si>
    <t>Waterfall Structure Schedule</t>
  </si>
  <si>
    <t>Debt Utilised</t>
  </si>
  <si>
    <t>Debt available</t>
  </si>
  <si>
    <t>Equity</t>
  </si>
  <si>
    <t>Equity Utilised</t>
  </si>
  <si>
    <t>Equity available</t>
  </si>
  <si>
    <t>Government Grants</t>
  </si>
  <si>
    <t>Govt Grants Utilised</t>
  </si>
  <si>
    <t>Govt Grants available</t>
  </si>
  <si>
    <t>Equity Schedule</t>
  </si>
  <si>
    <t>Government Grant Schedule</t>
  </si>
  <si>
    <t>Debt Schedule</t>
  </si>
  <si>
    <t>Flag Repayment Years</t>
  </si>
  <si>
    <t xml:space="preserve">Equated Yearly Principal Repayment </t>
  </si>
  <si>
    <t>Interest payable on debt</t>
  </si>
  <si>
    <t>Interest chargeable to P&amp;l</t>
  </si>
  <si>
    <t>(will not have IDC Cost , since we have started our project from Day 1)</t>
  </si>
  <si>
    <t xml:space="preserve">Tax Schedule </t>
  </si>
  <si>
    <t>INCOME STATEMENT</t>
  </si>
  <si>
    <t>Gross Profit</t>
  </si>
  <si>
    <t>EBITDA</t>
  </si>
  <si>
    <t>EBIT</t>
  </si>
  <si>
    <t>EBT</t>
  </si>
  <si>
    <t>Net Profit</t>
  </si>
  <si>
    <t>Transfer to Reserve and Surplus</t>
  </si>
  <si>
    <t>BALANCE SHEET</t>
  </si>
  <si>
    <t>Current Assets</t>
  </si>
  <si>
    <t>Cash</t>
  </si>
  <si>
    <t>Accounts Receivables</t>
  </si>
  <si>
    <t>Non Current Assets</t>
  </si>
  <si>
    <t>Total Assets</t>
  </si>
  <si>
    <t>Shareholders equity</t>
  </si>
  <si>
    <t>Reserves and Surplus</t>
  </si>
  <si>
    <t>Accounts Payables</t>
  </si>
  <si>
    <t>Non Current Liabilities</t>
  </si>
  <si>
    <t>Long terms Debts</t>
  </si>
  <si>
    <t>Government Grant</t>
  </si>
  <si>
    <t>Total Equity and Liabilities</t>
  </si>
  <si>
    <t>Net Income</t>
  </si>
  <si>
    <t xml:space="preserve">Interest on Debt Paid </t>
  </si>
  <si>
    <t xml:space="preserve">Depreciation &amp; Amortization </t>
  </si>
  <si>
    <t>Changes in Working Capital</t>
  </si>
  <si>
    <t>Other Operating Cash Flows</t>
  </si>
  <si>
    <t xml:space="preserve">Cash Flow from Operations </t>
  </si>
  <si>
    <t xml:space="preserve">Cash Flow from Investing </t>
  </si>
  <si>
    <t>Capital Expenditure</t>
  </si>
  <si>
    <t xml:space="preserve">Cash Flow from Financing </t>
  </si>
  <si>
    <t>Equity Issuance / Equity Raise</t>
  </si>
  <si>
    <t>Equity Repurchase</t>
  </si>
  <si>
    <t>LT Debt Issuance</t>
  </si>
  <si>
    <t>LT Debt Repayment</t>
  </si>
  <si>
    <t>Changes in Cash and Cash Equivalents</t>
  </si>
  <si>
    <t>Ending Cash Balance</t>
  </si>
  <si>
    <t>NOPAT</t>
  </si>
  <si>
    <t>Depreciation</t>
  </si>
  <si>
    <t>Changes in WC</t>
  </si>
  <si>
    <t>Changes in FC Req</t>
  </si>
  <si>
    <t>FCFF</t>
  </si>
  <si>
    <t>IRR</t>
  </si>
  <si>
    <t>Debt rate</t>
  </si>
  <si>
    <t>Tax rate</t>
  </si>
  <si>
    <t>After-tax cost of debt</t>
  </si>
  <si>
    <t>Market premium</t>
  </si>
  <si>
    <t>Market Risk Premium Calculation</t>
  </si>
  <si>
    <t>Risk Free Rate Calculation</t>
  </si>
  <si>
    <t>Year</t>
  </si>
  <si>
    <t>Returns of Nifty(Annual)</t>
  </si>
  <si>
    <t>Bond Rate on Govt of India Bond-10 year</t>
  </si>
  <si>
    <t>Bond Rate on Govt of India Bond-5 year</t>
  </si>
  <si>
    <t>Cost of government grant</t>
  </si>
  <si>
    <t>Average Rf Rate</t>
  </si>
  <si>
    <t> </t>
  </si>
  <si>
    <t>WACC</t>
  </si>
  <si>
    <t>NPV</t>
  </si>
  <si>
    <t>Turnover Ratio</t>
  </si>
  <si>
    <t>Assumption</t>
  </si>
  <si>
    <t>Schedules</t>
  </si>
  <si>
    <t>Income Statement'</t>
  </si>
  <si>
    <t>Balance Sheet'</t>
  </si>
  <si>
    <t>Cash Flow Statement'</t>
  </si>
  <si>
    <t>Output Analysis-NPV_IRR'</t>
  </si>
  <si>
    <t>Less: COGS</t>
  </si>
  <si>
    <t>Less: Operating Expenses</t>
  </si>
  <si>
    <t>Less: Depreciation and Amortization</t>
  </si>
  <si>
    <t>Less: Interest Expenses</t>
  </si>
  <si>
    <t>Less: Tax</t>
  </si>
  <si>
    <t>#</t>
  </si>
  <si>
    <r>
      <rPr>
        <i/>
        <sz val="11"/>
        <color rgb="FF000000"/>
        <rFont val="Calibri"/>
        <family val="2"/>
        <scheme val="minor"/>
      </rPr>
      <t xml:space="preserve">All projections in </t>
    </r>
    <r>
      <rPr>
        <i/>
        <sz val="11"/>
        <color rgb="FF002060"/>
        <rFont val="Calibri"/>
        <family val="2"/>
        <scheme val="minor"/>
      </rPr>
      <t>BLUE</t>
    </r>
  </si>
  <si>
    <t>Shareholder's Funds</t>
  </si>
  <si>
    <t>CASHFLOW STATEMENT</t>
  </si>
  <si>
    <t>Finance Cost</t>
  </si>
  <si>
    <t>Add: Opening Cash Balance</t>
  </si>
  <si>
    <t>Residential Project</t>
  </si>
  <si>
    <t>Inflation for Commercial</t>
  </si>
  <si>
    <t>Inflation for Residential</t>
  </si>
  <si>
    <t>Price of a Panel (2024)</t>
  </si>
  <si>
    <t>Growth rate for 3 years</t>
  </si>
  <si>
    <t>Growth Rate in 4th Year</t>
  </si>
  <si>
    <t>Growth Rate in 5th Year</t>
  </si>
  <si>
    <t>Start Date</t>
  </si>
  <si>
    <t>End Date</t>
  </si>
  <si>
    <t>Number of days in a Year</t>
  </si>
  <si>
    <t>Number of Operating days in a Year</t>
  </si>
  <si>
    <t>Current Asset</t>
  </si>
  <si>
    <t>Total Required</t>
  </si>
  <si>
    <t>Tax  &amp; Inflation</t>
  </si>
  <si>
    <t>Debt Structure</t>
  </si>
  <si>
    <t>COGS Breakup</t>
  </si>
  <si>
    <t>COGS &amp; Inventory Cost</t>
  </si>
  <si>
    <t>ANALYSIS</t>
  </si>
  <si>
    <t>We have been in operations for a year</t>
  </si>
  <si>
    <t>Projections start from 2nd year (2025)</t>
  </si>
  <si>
    <t>Our assumptions are based on the following news</t>
  </si>
  <si>
    <t>References</t>
  </si>
  <si>
    <t xml:space="preserve">Risk Free Rate </t>
  </si>
  <si>
    <t xml:space="preserve">Beta </t>
  </si>
  <si>
    <t>Cost of Equity (CAPM)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</si>
</sst>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 #,##0.00_ ;_ * \-#,##0.00_ ;_ * &quot;-&quot;??_ ;_ @_ "/>
    <numFmt numFmtId="164" formatCode="_(* #,##0.00_);_(* \(#,##0.00\);_(* &quot;-&quot;??_);_(@_)"/>
    <numFmt numFmtId="165" formatCode="0.0%"/>
    <numFmt numFmtId="166" formatCode="[$-409]mmmm\ d\,\ yyyy;@"/>
    <numFmt numFmtId="167" formatCode="#,##0.0;\(#,##0.0\);\-"/>
    <numFmt numFmtId="168" formatCode="0.000"/>
  </numFmts>
  <fonts count="25">
    <font>
      <sz val="11"/>
      <color theme="1"/>
      <name val="Calibri"/>
      <family val="2"/>
      <scheme val="minor"/>
    </font>
    <font>
      <b/>
      <sz val="11"/>
      <color theme="1"/>
      <name val="Calibri"/>
      <family val="2"/>
      <scheme val="minor"/>
    </font>
    <font>
      <b/>
      <u/>
      <sz val="11"/>
      <color theme="1"/>
      <name val="Calibri"/>
      <family val="2"/>
      <scheme val="minor"/>
    </font>
    <font>
      <sz val="11"/>
      <color theme="1"/>
      <name val="Calibri"/>
      <family val="2"/>
      <scheme val="minor"/>
    </font>
    <font>
      <u/>
      <sz val="11"/>
      <color theme="10"/>
      <name val="Calibri"/>
      <family val="2"/>
      <scheme val="minor"/>
    </font>
    <font>
      <b/>
      <sz val="11"/>
      <color theme="1"/>
      <name val="calibiri"/>
    </font>
    <font>
      <b/>
      <sz val="11"/>
      <color theme="1"/>
      <name val="calibiri"/>
      <family val="2"/>
    </font>
    <font>
      <sz val="11"/>
      <color rgb="FFFF0000"/>
      <name val="Calibri"/>
      <family val="2"/>
      <scheme val="minor"/>
    </font>
    <font>
      <i/>
      <sz val="11"/>
      <color theme="1"/>
      <name val="Calibri"/>
      <family val="2"/>
      <scheme val="minor"/>
    </font>
    <font>
      <i/>
      <sz val="11"/>
      <color rgb="FF000000"/>
      <name val="Calibri"/>
      <family val="2"/>
      <scheme val="minor"/>
    </font>
    <font>
      <i/>
      <sz val="11"/>
      <color rgb="FFFF0000"/>
      <name val="Calibri"/>
      <family val="2"/>
      <scheme val="minor"/>
    </font>
    <font>
      <sz val="11"/>
      <color theme="1"/>
      <name val="calibiri"/>
    </font>
    <font>
      <sz val="11"/>
      <color rgb="FF000000"/>
      <name val="Calibri"/>
      <family val="2"/>
    </font>
    <font>
      <b/>
      <sz val="11"/>
      <color rgb="FF000000"/>
      <name val="Calibri"/>
      <family val="2"/>
    </font>
    <font>
      <sz val="16"/>
      <color theme="1"/>
      <name val="Calibri"/>
      <family val="2"/>
      <scheme val="minor"/>
    </font>
    <font>
      <b/>
      <sz val="11"/>
      <name val="Calibri"/>
      <family val="2"/>
    </font>
    <font>
      <sz val="11"/>
      <name val="Calibri"/>
      <family val="2"/>
    </font>
    <font>
      <b/>
      <sz val="11"/>
      <color rgb="FF000000"/>
      <name val="Calibri"/>
      <family val="2"/>
    </font>
    <font>
      <b/>
      <sz val="11"/>
      <color theme="0"/>
      <name val="Calibri"/>
      <family val="2"/>
      <scheme val="minor"/>
    </font>
    <font>
      <sz val="11"/>
      <color theme="0"/>
      <name val="Calibri"/>
      <family val="2"/>
      <scheme val="minor"/>
    </font>
    <font>
      <sz val="11"/>
      <color rgb="FF002060"/>
      <name val="Calibri"/>
      <family val="2"/>
      <scheme val="minor"/>
    </font>
    <font>
      <b/>
      <sz val="11"/>
      <color rgb="FF002060"/>
      <name val="Calibri"/>
      <family val="2"/>
      <scheme val="minor"/>
    </font>
    <font>
      <i/>
      <sz val="11"/>
      <color rgb="FF002060"/>
      <name val="Calibri"/>
      <family val="2"/>
      <scheme val="minor"/>
    </font>
    <font>
      <sz val="8"/>
      <name val="Calibri"/>
      <family val="2"/>
      <scheme val="minor"/>
    </font>
    <font>
      <b/>
      <sz val="11"/>
      <name val="Calibri"/>
      <family val="2"/>
      <scheme val="minor"/>
    </font>
  </fonts>
  <fills count="8">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9" tint="0.79998168889431442"/>
        <bgColor indexed="64"/>
      </patternFill>
    </fill>
    <fill>
      <patternFill patternType="solid">
        <fgColor rgb="FF002060"/>
        <bgColor indexed="64"/>
      </patternFill>
    </fill>
    <fill>
      <patternFill patternType="solid">
        <fgColor theme="4" tint="0.79998168889431442"/>
        <bgColor indexed="64"/>
      </patternFill>
    </fill>
    <fill>
      <patternFill patternType="solid">
        <fgColor theme="4" tint="0.59999389629810485"/>
        <bgColor indexed="64"/>
      </patternFill>
    </fill>
  </fills>
  <borders count="38">
    <border>
      <left/>
      <right/>
      <top/>
      <bottom/>
      <diagonal/>
    </border>
    <border>
      <left/>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rgb="FF000000"/>
      </right>
      <top/>
      <bottom style="thin">
        <color indexed="64"/>
      </bottom>
      <diagonal/>
    </border>
    <border>
      <left/>
      <right style="thin">
        <color rgb="FF000000"/>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top/>
      <bottom/>
      <diagonal/>
    </border>
    <border>
      <left style="thin">
        <color indexed="64"/>
      </left>
      <right/>
      <top/>
      <bottom style="thin">
        <color indexed="64"/>
      </bottom>
      <diagonal/>
    </border>
    <border>
      <left/>
      <right/>
      <top style="thin">
        <color rgb="FF000000"/>
      </top>
      <bottom style="thin">
        <color rgb="FF000000"/>
      </bottom>
      <diagonal/>
    </border>
    <border>
      <left style="thin">
        <color indexed="64"/>
      </left>
      <right/>
      <top style="thin">
        <color rgb="FF000000"/>
      </top>
      <bottom/>
      <diagonal/>
    </border>
    <border>
      <left/>
      <right/>
      <top style="thin">
        <color rgb="FF000000"/>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right/>
      <top style="thin">
        <color indexed="64"/>
      </top>
      <bottom style="thin">
        <color indexed="64"/>
      </bottom>
      <diagonal/>
    </border>
    <border>
      <left/>
      <right style="thin">
        <color auto="1"/>
      </right>
      <top style="thin">
        <color indexed="64"/>
      </top>
      <bottom style="thin">
        <color indexed="64"/>
      </bottom>
      <diagonal/>
    </border>
    <border>
      <left/>
      <right/>
      <top style="medium">
        <color auto="1"/>
      </top>
      <bottom style="double">
        <color auto="1"/>
      </bottom>
      <diagonal/>
    </border>
    <border>
      <left/>
      <right/>
      <top style="medium">
        <color auto="1"/>
      </top>
      <bottom style="medium">
        <color auto="1"/>
      </bottom>
      <diagonal/>
    </border>
    <border>
      <left style="hair">
        <color auto="1"/>
      </left>
      <right/>
      <top style="hair">
        <color auto="1"/>
      </top>
      <bottom/>
      <diagonal/>
    </border>
    <border>
      <left/>
      <right/>
      <top style="hair">
        <color auto="1"/>
      </top>
      <bottom/>
      <diagonal/>
    </border>
    <border>
      <left/>
      <right style="hair">
        <color auto="1"/>
      </right>
      <top style="hair">
        <color auto="1"/>
      </top>
      <bottom/>
      <diagonal/>
    </border>
    <border>
      <left style="hair">
        <color auto="1"/>
      </left>
      <right/>
      <top/>
      <bottom/>
      <diagonal/>
    </border>
    <border>
      <left/>
      <right style="hair">
        <color auto="1"/>
      </right>
      <top/>
      <bottom/>
      <diagonal/>
    </border>
    <border>
      <left style="hair">
        <color auto="1"/>
      </left>
      <right/>
      <top/>
      <bottom style="hair">
        <color auto="1"/>
      </bottom>
      <diagonal/>
    </border>
    <border>
      <left/>
      <right/>
      <top/>
      <bottom style="hair">
        <color auto="1"/>
      </bottom>
      <diagonal/>
    </border>
    <border>
      <left/>
      <right style="hair">
        <color auto="1"/>
      </right>
      <top/>
      <bottom style="hair">
        <color auto="1"/>
      </bottom>
      <diagonal/>
    </border>
    <border>
      <left style="thin">
        <color auto="1"/>
      </left>
      <right/>
      <top style="thin">
        <color auto="1"/>
      </top>
      <bottom style="thin">
        <color auto="1"/>
      </bottom>
      <diagonal/>
    </border>
  </borders>
  <cellStyleXfs count="4">
    <xf numFmtId="0" fontId="0" fillId="0" borderId="0"/>
    <xf numFmtId="43" fontId="3" fillId="0" borderId="0" applyFont="0" applyFill="0" applyBorder="0" applyAlignment="0" applyProtection="0"/>
    <xf numFmtId="0" fontId="4" fillId="0" borderId="0" applyNumberFormat="0" applyFill="0" applyBorder="0" applyAlignment="0" applyProtection="0"/>
    <xf numFmtId="9" fontId="3" fillId="0" borderId="0" applyFont="0" applyFill="0" applyBorder="0" applyAlignment="0" applyProtection="0"/>
  </cellStyleXfs>
  <cellXfs count="193">
    <xf numFmtId="0" fontId="0" fillId="0" borderId="0" xfId="0"/>
    <xf numFmtId="0" fontId="1" fillId="0" borderId="0" xfId="0" applyFont="1"/>
    <xf numFmtId="9" fontId="0" fillId="0" borderId="0" xfId="0" applyNumberFormat="1"/>
    <xf numFmtId="0" fontId="1" fillId="0" borderId="0" xfId="0" applyFont="1" applyAlignment="1">
      <alignment horizontal="left" vertical="center"/>
    </xf>
    <xf numFmtId="0" fontId="0" fillId="0" borderId="0" xfId="0" applyAlignment="1">
      <alignment horizontal="left"/>
    </xf>
    <xf numFmtId="0" fontId="2" fillId="0" borderId="0" xfId="0" applyFont="1"/>
    <xf numFmtId="14" fontId="0" fillId="0" borderId="0" xfId="0" applyNumberFormat="1"/>
    <xf numFmtId="10" fontId="0" fillId="0" borderId="0" xfId="0" applyNumberFormat="1"/>
    <xf numFmtId="0" fontId="4" fillId="0" borderId="0" xfId="2"/>
    <xf numFmtId="43" fontId="0" fillId="0" borderId="0" xfId="0" applyNumberFormat="1"/>
    <xf numFmtId="0" fontId="1" fillId="0" borderId="0" xfId="0" applyFont="1" applyAlignment="1">
      <alignment horizontal="center" vertical="center" textRotation="90" wrapText="1"/>
    </xf>
    <xf numFmtId="164" fontId="0" fillId="0" borderId="0" xfId="0" applyNumberFormat="1"/>
    <xf numFmtId="0" fontId="7" fillId="0" borderId="0" xfId="0" applyFont="1"/>
    <xf numFmtId="0" fontId="8" fillId="0" borderId="0" xfId="0" applyFont="1"/>
    <xf numFmtId="166" fontId="0" fillId="0" borderId="0" xfId="0" applyNumberFormat="1"/>
    <xf numFmtId="9" fontId="7" fillId="0" borderId="0" xfId="0" applyNumberFormat="1" applyFont="1"/>
    <xf numFmtId="0" fontId="1" fillId="0" borderId="0" xfId="0" applyFont="1" applyAlignment="1">
      <alignment horizontal="right"/>
    </xf>
    <xf numFmtId="0" fontId="12" fillId="0" borderId="0" xfId="0" applyFont="1"/>
    <xf numFmtId="0" fontId="13" fillId="0" borderId="0" xfId="0" applyFont="1"/>
    <xf numFmtId="0" fontId="11" fillId="0" borderId="0" xfId="0" applyFont="1"/>
    <xf numFmtId="0" fontId="14" fillId="0" borderId="0" xfId="0" applyFont="1"/>
    <xf numFmtId="0" fontId="16" fillId="0" borderId="2" xfId="0" applyFont="1" applyBorder="1" applyAlignment="1">
      <alignment wrapText="1"/>
    </xf>
    <xf numFmtId="0" fontId="16" fillId="0" borderId="3" xfId="0" applyFont="1" applyBorder="1" applyAlignment="1">
      <alignment wrapText="1"/>
    </xf>
    <xf numFmtId="10" fontId="15" fillId="0" borderId="4" xfId="0" applyNumberFormat="1" applyFont="1" applyBorder="1" applyAlignment="1">
      <alignment wrapText="1"/>
    </xf>
    <xf numFmtId="0" fontId="15" fillId="0" borderId="3" xfId="0" applyFont="1" applyBorder="1" applyAlignment="1">
      <alignment wrapText="1"/>
    </xf>
    <xf numFmtId="0" fontId="15" fillId="0" borderId="4" xfId="0" applyFont="1" applyBorder="1" applyAlignment="1">
      <alignment wrapText="1"/>
    </xf>
    <xf numFmtId="0" fontId="1" fillId="3" borderId="0" xfId="0" applyFont="1" applyFill="1"/>
    <xf numFmtId="0" fontId="15" fillId="0" borderId="9" xfId="0" applyFont="1" applyBorder="1" applyAlignment="1">
      <alignment horizontal="left" vertical="center" wrapText="1"/>
    </xf>
    <xf numFmtId="0" fontId="17" fillId="0" borderId="1" xfId="0" applyFont="1" applyBorder="1" applyAlignment="1">
      <alignment horizontal="left" vertical="center" wrapText="1"/>
    </xf>
    <xf numFmtId="10" fontId="15" fillId="0" borderId="4" xfId="0" applyNumberFormat="1" applyFont="1" applyBorder="1" applyAlignment="1">
      <alignment horizontal="right" vertical="center" wrapText="1"/>
    </xf>
    <xf numFmtId="0" fontId="14" fillId="0" borderId="13" xfId="0" applyFont="1" applyBorder="1"/>
    <xf numFmtId="0" fontId="14" fillId="0" borderId="14" xfId="0" applyFont="1" applyBorder="1"/>
    <xf numFmtId="0" fontId="14" fillId="0" borderId="15" xfId="0" applyFont="1" applyBorder="1"/>
    <xf numFmtId="0" fontId="14" fillId="0" borderId="16" xfId="0" applyFont="1" applyBorder="1"/>
    <xf numFmtId="0" fontId="14" fillId="0" borderId="17" xfId="0" applyFont="1" applyBorder="1"/>
    <xf numFmtId="0" fontId="14" fillId="0" borderId="18" xfId="0" applyFont="1" applyBorder="1"/>
    <xf numFmtId="0" fontId="1" fillId="4" borderId="0" xfId="0" applyFont="1" applyFill="1"/>
    <xf numFmtId="10" fontId="1" fillId="4" borderId="0" xfId="0" applyNumberFormat="1" applyFont="1" applyFill="1"/>
    <xf numFmtId="0" fontId="13" fillId="4" borderId="0" xfId="0" applyFont="1" applyFill="1"/>
    <xf numFmtId="9" fontId="1" fillId="4" borderId="0" xfId="0" applyNumberFormat="1" applyFont="1" applyFill="1"/>
    <xf numFmtId="0" fontId="16" fillId="0" borderId="11" xfId="0" applyFont="1" applyBorder="1" applyAlignment="1">
      <alignment horizontal="left" vertical="center" wrapText="1"/>
    </xf>
    <xf numFmtId="0" fontId="16" fillId="0" borderId="12" xfId="0" applyFont="1" applyBorder="1" applyAlignment="1">
      <alignment horizontal="left" vertical="center" wrapText="1"/>
    </xf>
    <xf numFmtId="0" fontId="0" fillId="0" borderId="8" xfId="0" applyBorder="1"/>
    <xf numFmtId="0" fontId="1" fillId="0" borderId="0" xfId="0" applyFont="1" applyAlignment="1">
      <alignment horizontal="center"/>
    </xf>
    <xf numFmtId="0" fontId="0" fillId="0" borderId="23" xfId="0" applyBorder="1"/>
    <xf numFmtId="0" fontId="1" fillId="0" borderId="8" xfId="0" applyFont="1" applyBorder="1"/>
    <xf numFmtId="0" fontId="6" fillId="0" borderId="0" xfId="0" applyFont="1"/>
    <xf numFmtId="0" fontId="1" fillId="0" borderId="23" xfId="0" applyFont="1" applyBorder="1"/>
    <xf numFmtId="0" fontId="5" fillId="0" borderId="0" xfId="0" applyFont="1"/>
    <xf numFmtId="43" fontId="1" fillId="0" borderId="0" xfId="0" applyNumberFormat="1" applyFont="1"/>
    <xf numFmtId="165" fontId="0" fillId="0" borderId="0" xfId="0" applyNumberFormat="1"/>
    <xf numFmtId="0" fontId="1" fillId="0" borderId="9" xfId="0" applyFont="1" applyBorder="1"/>
    <xf numFmtId="0" fontId="0" fillId="0" borderId="1" xfId="0" applyBorder="1"/>
    <xf numFmtId="0" fontId="0" fillId="0" borderId="2" xfId="0" applyBorder="1"/>
    <xf numFmtId="0" fontId="0" fillId="0" borderId="3" xfId="0" applyBorder="1"/>
    <xf numFmtId="167" fontId="0" fillId="0" borderId="0" xfId="0" applyNumberFormat="1" applyAlignment="1">
      <alignment horizontal="right"/>
    </xf>
    <xf numFmtId="167" fontId="0" fillId="0" borderId="1" xfId="0" applyNumberFormat="1" applyBorder="1" applyAlignment="1">
      <alignment horizontal="right"/>
    </xf>
    <xf numFmtId="167" fontId="1" fillId="0" borderId="0" xfId="0" applyNumberFormat="1" applyFont="1" applyAlignment="1">
      <alignment horizontal="right"/>
    </xf>
    <xf numFmtId="167" fontId="1" fillId="0" borderId="1" xfId="0" applyNumberFormat="1" applyFont="1" applyBorder="1" applyAlignment="1">
      <alignment horizontal="right"/>
    </xf>
    <xf numFmtId="0" fontId="18" fillId="5" borderId="0" xfId="0" applyFont="1" applyFill="1" applyAlignment="1">
      <alignment horizontal="center"/>
    </xf>
    <xf numFmtId="0" fontId="19" fillId="5" borderId="0" xfId="0" applyFont="1" applyFill="1"/>
    <xf numFmtId="0" fontId="1" fillId="0" borderId="27" xfId="0" applyFont="1" applyBorder="1"/>
    <xf numFmtId="0" fontId="0" fillId="0" borderId="27" xfId="0" applyBorder="1"/>
    <xf numFmtId="167" fontId="1" fillId="0" borderId="27" xfId="0" applyNumberFormat="1" applyFont="1" applyBorder="1" applyAlignment="1">
      <alignment horizontal="right"/>
    </xf>
    <xf numFmtId="167" fontId="20" fillId="0" borderId="0" xfId="0" applyNumberFormat="1" applyFont="1" applyAlignment="1">
      <alignment horizontal="right"/>
    </xf>
    <xf numFmtId="167" fontId="21" fillId="0" borderId="0" xfId="0" applyNumberFormat="1" applyFont="1" applyAlignment="1">
      <alignment horizontal="right"/>
    </xf>
    <xf numFmtId="167" fontId="21" fillId="0" borderId="27" xfId="0" applyNumberFormat="1" applyFont="1" applyBorder="1" applyAlignment="1">
      <alignment horizontal="right"/>
    </xf>
    <xf numFmtId="43" fontId="21" fillId="0" borderId="0" xfId="0" applyNumberFormat="1" applyFont="1"/>
    <xf numFmtId="0" fontId="1" fillId="0" borderId="28" xfId="0" applyFont="1" applyBorder="1" applyAlignment="1">
      <alignment horizontal="left"/>
    </xf>
    <xf numFmtId="0" fontId="0" fillId="0" borderId="28" xfId="0" applyBorder="1"/>
    <xf numFmtId="167" fontId="1" fillId="0" borderId="28" xfId="0" applyNumberFormat="1" applyFont="1" applyBorder="1" applyAlignment="1">
      <alignment horizontal="right"/>
    </xf>
    <xf numFmtId="0" fontId="1" fillId="0" borderId="0" xfId="0" applyFont="1" applyAlignment="1">
      <alignment horizontal="left"/>
    </xf>
    <xf numFmtId="0" fontId="1" fillId="0" borderId="28" xfId="0" applyFont="1" applyBorder="1"/>
    <xf numFmtId="0" fontId="20" fillId="0" borderId="0" xfId="0" applyFont="1"/>
    <xf numFmtId="167" fontId="21" fillId="0" borderId="28" xfId="0" applyNumberFormat="1" applyFont="1" applyBorder="1" applyAlignment="1">
      <alignment horizontal="right"/>
    </xf>
    <xf numFmtId="167" fontId="0" fillId="0" borderId="27" xfId="0" applyNumberFormat="1" applyBorder="1" applyAlignment="1">
      <alignment horizontal="right"/>
    </xf>
    <xf numFmtId="167" fontId="20" fillId="0" borderId="27" xfId="0" applyNumberFormat="1" applyFont="1" applyBorder="1" applyAlignment="1">
      <alignment horizontal="right"/>
    </xf>
    <xf numFmtId="0" fontId="4" fillId="0" borderId="2" xfId="2" applyBorder="1"/>
    <xf numFmtId="0" fontId="4" fillId="0" borderId="2" xfId="2" quotePrefix="1" applyBorder="1"/>
    <xf numFmtId="0" fontId="4" fillId="0" borderId="3" xfId="2" quotePrefix="1" applyBorder="1"/>
    <xf numFmtId="0" fontId="0" fillId="0" borderId="9" xfId="0" applyBorder="1"/>
    <xf numFmtId="10" fontId="0" fillId="0" borderId="0" xfId="3" applyNumberFormat="1" applyFont="1"/>
    <xf numFmtId="0" fontId="0" fillId="0" borderId="21" xfId="0" applyBorder="1"/>
    <xf numFmtId="0" fontId="1" fillId="0" borderId="1" xfId="0" applyFont="1" applyBorder="1"/>
    <xf numFmtId="0" fontId="1" fillId="0" borderId="32" xfId="0" applyFont="1" applyBorder="1"/>
    <xf numFmtId="0" fontId="0" fillId="0" borderId="32" xfId="0" applyBorder="1"/>
    <xf numFmtId="0" fontId="1" fillId="0" borderId="34" xfId="0" applyFont="1" applyBorder="1"/>
    <xf numFmtId="0" fontId="1" fillId="0" borderId="35" xfId="0" applyFont="1" applyBorder="1"/>
    <xf numFmtId="167" fontId="1" fillId="0" borderId="35" xfId="0" applyNumberFormat="1" applyFont="1" applyBorder="1" applyAlignment="1">
      <alignment horizontal="right"/>
    </xf>
    <xf numFmtId="0" fontId="2" fillId="6" borderId="20" xfId="0" applyFont="1" applyFill="1" applyBorder="1"/>
    <xf numFmtId="0" fontId="2" fillId="6" borderId="21" xfId="0" applyFont="1" applyFill="1" applyBorder="1"/>
    <xf numFmtId="0" fontId="0" fillId="6" borderId="21" xfId="0" applyFill="1" applyBorder="1"/>
    <xf numFmtId="167" fontId="0" fillId="6" borderId="21" xfId="0" applyNumberFormat="1" applyFill="1" applyBorder="1" applyAlignment="1">
      <alignment horizontal="right"/>
    </xf>
    <xf numFmtId="0" fontId="1" fillId="6" borderId="20" xfId="0" applyFont="1" applyFill="1" applyBorder="1"/>
    <xf numFmtId="0" fontId="1" fillId="6" borderId="29" xfId="0" applyFont="1" applyFill="1" applyBorder="1"/>
    <xf numFmtId="0" fontId="1" fillId="6" borderId="30" xfId="0" applyFont="1" applyFill="1" applyBorder="1"/>
    <xf numFmtId="0" fontId="0" fillId="6" borderId="30" xfId="0" applyFill="1" applyBorder="1"/>
    <xf numFmtId="167" fontId="0" fillId="6" borderId="30" xfId="0" applyNumberFormat="1" applyFill="1" applyBorder="1" applyAlignment="1">
      <alignment horizontal="right"/>
    </xf>
    <xf numFmtId="0" fontId="2" fillId="0" borderId="8" xfId="0" applyFont="1" applyBorder="1"/>
    <xf numFmtId="43" fontId="0" fillId="0" borderId="0" xfId="1" applyFont="1" applyBorder="1"/>
    <xf numFmtId="9" fontId="0" fillId="0" borderId="1" xfId="0" applyNumberFormat="1" applyBorder="1"/>
    <xf numFmtId="0" fontId="2" fillId="0" borderId="1" xfId="0" applyFont="1" applyBorder="1"/>
    <xf numFmtId="0" fontId="0" fillId="0" borderId="22" xfId="0" applyBorder="1"/>
    <xf numFmtId="0" fontId="0" fillId="0" borderId="24" xfId="0" applyBorder="1"/>
    <xf numFmtId="0" fontId="0" fillId="6" borderId="22" xfId="0" applyFill="1" applyBorder="1"/>
    <xf numFmtId="2" fontId="0" fillId="0" borderId="1" xfId="0" applyNumberFormat="1" applyBorder="1"/>
    <xf numFmtId="10" fontId="0" fillId="0" borderId="1" xfId="3" applyNumberFormat="1" applyFont="1" applyBorder="1"/>
    <xf numFmtId="165" fontId="7" fillId="0" borderId="23" xfId="0" applyNumberFormat="1" applyFont="1" applyBorder="1"/>
    <xf numFmtId="9" fontId="1" fillId="0" borderId="24" xfId="0" applyNumberFormat="1" applyFont="1" applyBorder="1"/>
    <xf numFmtId="0" fontId="1" fillId="6" borderId="22" xfId="0" applyFont="1" applyFill="1" applyBorder="1" applyAlignment="1">
      <alignment horizontal="right"/>
    </xf>
    <xf numFmtId="0" fontId="8" fillId="0" borderId="9" xfId="0" applyFont="1" applyBorder="1"/>
    <xf numFmtId="9" fontId="7" fillId="0" borderId="24" xfId="0" applyNumberFormat="1" applyFont="1" applyBorder="1"/>
    <xf numFmtId="0" fontId="0" fillId="0" borderId="20" xfId="0" applyBorder="1"/>
    <xf numFmtId="0" fontId="7" fillId="0" borderId="23" xfId="0" applyFont="1" applyBorder="1"/>
    <xf numFmtId="10" fontId="7" fillId="0" borderId="23" xfId="0" applyNumberFormat="1" applyFont="1" applyBorder="1"/>
    <xf numFmtId="10" fontId="7" fillId="0" borderId="24" xfId="0" applyNumberFormat="1" applyFont="1" applyBorder="1"/>
    <xf numFmtId="166" fontId="7" fillId="0" borderId="23" xfId="0" applyNumberFormat="1" applyFont="1" applyBorder="1"/>
    <xf numFmtId="166" fontId="0" fillId="0" borderId="24" xfId="0" applyNumberFormat="1" applyBorder="1"/>
    <xf numFmtId="0" fontId="1" fillId="0" borderId="21" xfId="0" applyFont="1" applyBorder="1" applyAlignment="1">
      <alignment horizontal="right"/>
    </xf>
    <xf numFmtId="10" fontId="7" fillId="0" borderId="0" xfId="0" applyNumberFormat="1" applyFont="1"/>
    <xf numFmtId="0" fontId="7" fillId="0" borderId="1" xfId="0" applyFont="1" applyBorder="1"/>
    <xf numFmtId="10" fontId="7" fillId="0" borderId="1" xfId="0" applyNumberFormat="1" applyFont="1" applyBorder="1"/>
    <xf numFmtId="0" fontId="1" fillId="6" borderId="21" xfId="0" applyFont="1" applyFill="1" applyBorder="1" applyAlignment="1">
      <alignment horizontal="right"/>
    </xf>
    <xf numFmtId="0" fontId="8" fillId="6" borderId="20" xfId="0" applyFont="1" applyFill="1" applyBorder="1"/>
    <xf numFmtId="9" fontId="7" fillId="6" borderId="22" xfId="0" applyNumberFormat="1" applyFont="1" applyFill="1" applyBorder="1"/>
    <xf numFmtId="9" fontId="7" fillId="0" borderId="23" xfId="0" applyNumberFormat="1" applyFont="1" applyBorder="1"/>
    <xf numFmtId="0" fontId="1" fillId="0" borderId="24" xfId="0" applyFont="1" applyBorder="1"/>
    <xf numFmtId="165" fontId="7" fillId="0" borderId="24" xfId="0" applyNumberFormat="1" applyFont="1" applyBorder="1"/>
    <xf numFmtId="0" fontId="1" fillId="6" borderId="22" xfId="0" applyFont="1" applyFill="1" applyBorder="1"/>
    <xf numFmtId="2" fontId="0" fillId="0" borderId="23" xfId="0" applyNumberFormat="1" applyBorder="1"/>
    <xf numFmtId="2" fontId="0" fillId="0" borderId="24" xfId="0" applyNumberFormat="1" applyBorder="1"/>
    <xf numFmtId="0" fontId="1" fillId="0" borderId="23" xfId="0" applyFont="1" applyBorder="1" applyAlignment="1">
      <alignment horizontal="right"/>
    </xf>
    <xf numFmtId="0" fontId="1" fillId="6" borderId="21" xfId="0" applyFont="1" applyFill="1" applyBorder="1"/>
    <xf numFmtId="0" fontId="5" fillId="6" borderId="20" xfId="0" applyFont="1" applyFill="1" applyBorder="1"/>
    <xf numFmtId="0" fontId="11" fillId="0" borderId="8" xfId="0" applyFont="1" applyBorder="1"/>
    <xf numFmtId="0" fontId="11" fillId="0" borderId="9" xfId="0" applyFont="1" applyBorder="1"/>
    <xf numFmtId="0" fontId="5" fillId="0" borderId="37" xfId="0" applyFont="1" applyBorder="1"/>
    <xf numFmtId="0" fontId="5" fillId="0" borderId="25" xfId="0" applyFont="1" applyBorder="1"/>
    <xf numFmtId="0" fontId="5" fillId="0" borderId="26" xfId="0" applyFont="1" applyBorder="1"/>
    <xf numFmtId="0" fontId="7" fillId="0" borderId="22" xfId="0" applyFont="1" applyBorder="1"/>
    <xf numFmtId="9" fontId="7" fillId="0" borderId="23" xfId="0" applyNumberFormat="1" applyFont="1" applyBorder="1" applyAlignment="1">
      <alignment horizontal="right"/>
    </xf>
    <xf numFmtId="0" fontId="5" fillId="0" borderId="9" xfId="0" applyFont="1" applyBorder="1"/>
    <xf numFmtId="167" fontId="20" fillId="0" borderId="23" xfId="0" applyNumberFormat="1" applyFont="1" applyBorder="1" applyAlignment="1">
      <alignment horizontal="right"/>
    </xf>
    <xf numFmtId="167" fontId="21" fillId="0" borderId="23" xfId="0" applyNumberFormat="1" applyFont="1" applyBorder="1" applyAlignment="1">
      <alignment horizontal="right"/>
    </xf>
    <xf numFmtId="167" fontId="21" fillId="0" borderId="1" xfId="0" applyNumberFormat="1" applyFont="1" applyBorder="1" applyAlignment="1">
      <alignment horizontal="right"/>
    </xf>
    <xf numFmtId="167" fontId="21" fillId="0" borderId="24" xfId="0" applyNumberFormat="1" applyFont="1" applyBorder="1" applyAlignment="1">
      <alignment horizontal="right"/>
    </xf>
    <xf numFmtId="0" fontId="21" fillId="6" borderId="21" xfId="0" applyFont="1" applyFill="1" applyBorder="1"/>
    <xf numFmtId="0" fontId="21" fillId="6" borderId="22" xfId="0" applyFont="1" applyFill="1" applyBorder="1"/>
    <xf numFmtId="0" fontId="20" fillId="0" borderId="23" xfId="0" applyFont="1" applyBorder="1"/>
    <xf numFmtId="0" fontId="20" fillId="6" borderId="21" xfId="0" applyFont="1" applyFill="1" applyBorder="1"/>
    <xf numFmtId="0" fontId="20" fillId="6" borderId="22" xfId="0" applyFont="1" applyFill="1" applyBorder="1"/>
    <xf numFmtId="167" fontId="20" fillId="6" borderId="21" xfId="0" applyNumberFormat="1" applyFont="1" applyFill="1" applyBorder="1" applyAlignment="1">
      <alignment horizontal="right"/>
    </xf>
    <xf numFmtId="167" fontId="20" fillId="6" borderId="22" xfId="0" applyNumberFormat="1" applyFont="1" applyFill="1" applyBorder="1" applyAlignment="1">
      <alignment horizontal="right"/>
    </xf>
    <xf numFmtId="167" fontId="20" fillId="6" borderId="30" xfId="0" applyNumberFormat="1" applyFont="1" applyFill="1" applyBorder="1" applyAlignment="1">
      <alignment horizontal="right"/>
    </xf>
    <xf numFmtId="167" fontId="20" fillId="6" borderId="31" xfId="0" applyNumberFormat="1" applyFont="1" applyFill="1" applyBorder="1" applyAlignment="1">
      <alignment horizontal="right"/>
    </xf>
    <xf numFmtId="167" fontId="20" fillId="0" borderId="33" xfId="0" applyNumberFormat="1" applyFont="1" applyBorder="1" applyAlignment="1">
      <alignment horizontal="right"/>
    </xf>
    <xf numFmtId="167" fontId="21" fillId="0" borderId="35" xfId="0" applyNumberFormat="1" applyFont="1" applyBorder="1" applyAlignment="1">
      <alignment horizontal="right"/>
    </xf>
    <xf numFmtId="167" fontId="21" fillId="0" borderId="36" xfId="0" applyNumberFormat="1" applyFont="1" applyBorder="1" applyAlignment="1">
      <alignment horizontal="right"/>
    </xf>
    <xf numFmtId="167" fontId="20" fillId="0" borderId="1" xfId="0" applyNumberFormat="1" applyFont="1" applyBorder="1" applyAlignment="1">
      <alignment horizontal="right"/>
    </xf>
    <xf numFmtId="167" fontId="20" fillId="0" borderId="24" xfId="0" applyNumberFormat="1" applyFont="1" applyBorder="1" applyAlignment="1">
      <alignment horizontal="right"/>
    </xf>
    <xf numFmtId="0" fontId="20" fillId="0" borderId="1" xfId="0" applyFont="1" applyBorder="1"/>
    <xf numFmtId="0" fontId="20" fillId="0" borderId="24" xfId="0" applyFont="1" applyBorder="1"/>
    <xf numFmtId="10" fontId="20" fillId="0" borderId="1" xfId="3" applyNumberFormat="1" applyFont="1" applyBorder="1"/>
    <xf numFmtId="10" fontId="20" fillId="0" borderId="24" xfId="3" applyNumberFormat="1" applyFont="1" applyBorder="1"/>
    <xf numFmtId="0" fontId="1" fillId="6" borderId="19" xfId="0" applyFont="1" applyFill="1" applyBorder="1"/>
    <xf numFmtId="167" fontId="7" fillId="0" borderId="0" xfId="0" applyNumberFormat="1" applyFont="1" applyAlignment="1">
      <alignment horizontal="right"/>
    </xf>
    <xf numFmtId="167" fontId="7" fillId="0" borderId="22" xfId="0" applyNumberFormat="1" applyFont="1" applyBorder="1" applyAlignment="1">
      <alignment horizontal="right"/>
    </xf>
    <xf numFmtId="167" fontId="7" fillId="0" borderId="23" xfId="0" applyNumberFormat="1" applyFont="1" applyBorder="1" applyAlignment="1">
      <alignment horizontal="right"/>
    </xf>
    <xf numFmtId="0" fontId="7" fillId="0" borderId="26" xfId="0" applyFont="1" applyBorder="1"/>
    <xf numFmtId="167" fontId="0" fillId="0" borderId="23" xfId="0" applyNumberFormat="1" applyBorder="1" applyAlignment="1">
      <alignment horizontal="right"/>
    </xf>
    <xf numFmtId="167" fontId="7" fillId="0" borderId="24" xfId="0" applyNumberFormat="1" applyFont="1" applyBorder="1" applyAlignment="1">
      <alignment horizontal="right"/>
    </xf>
    <xf numFmtId="167" fontId="7" fillId="3" borderId="0" xfId="0" applyNumberFormat="1" applyFont="1" applyFill="1" applyAlignment="1">
      <alignment horizontal="right"/>
    </xf>
    <xf numFmtId="2" fontId="16" fillId="0" borderId="5" xfId="0" applyNumberFormat="1" applyFont="1" applyBorder="1" applyAlignment="1">
      <alignment wrapText="1"/>
    </xf>
    <xf numFmtId="168" fontId="16" fillId="0" borderId="5" xfId="0" applyNumberFormat="1" applyFont="1" applyBorder="1" applyAlignment="1">
      <alignment horizontal="right" vertical="center" wrapText="1"/>
    </xf>
    <xf numFmtId="0" fontId="19" fillId="0" borderId="0" xfId="0" applyFont="1"/>
    <xf numFmtId="0" fontId="18" fillId="0" borderId="0" xfId="0" applyFont="1" applyAlignment="1">
      <alignment horizontal="center"/>
    </xf>
    <xf numFmtId="0" fontId="19" fillId="7" borderId="0" xfId="0" applyFont="1" applyFill="1"/>
    <xf numFmtId="0" fontId="18" fillId="7" borderId="0" xfId="0" applyFont="1" applyFill="1" applyAlignment="1">
      <alignment horizontal="center"/>
    </xf>
    <xf numFmtId="0" fontId="13" fillId="7" borderId="0" xfId="0" applyFont="1" applyFill="1"/>
    <xf numFmtId="0" fontId="0" fillId="7" borderId="0" xfId="0" applyFill="1"/>
    <xf numFmtId="0" fontId="24" fillId="7" borderId="0" xfId="0" applyFont="1" applyFill="1"/>
    <xf numFmtId="0" fontId="24" fillId="0" borderId="0" xfId="0" applyFont="1"/>
    <xf numFmtId="0" fontId="4" fillId="2" borderId="3" xfId="2" applyFill="1" applyBorder="1"/>
    <xf numFmtId="2" fontId="0" fillId="0" borderId="0" xfId="0" applyNumberFormat="1"/>
    <xf numFmtId="0" fontId="16" fillId="0" borderId="8" xfId="0" applyFont="1" applyBorder="1" applyAlignment="1">
      <alignment horizontal="left" vertical="center" wrapText="1"/>
    </xf>
    <xf numFmtId="0" fontId="16" fillId="0" borderId="0" xfId="0" applyFont="1" applyAlignment="1">
      <alignment horizontal="left" vertical="center" wrapText="1"/>
    </xf>
    <xf numFmtId="0" fontId="18" fillId="5" borderId="0" xfId="0" applyFont="1" applyFill="1" applyAlignment="1">
      <alignment horizontal="center"/>
    </xf>
    <xf numFmtId="0" fontId="15" fillId="7" borderId="6" xfId="0" applyFont="1" applyFill="1" applyBorder="1" applyAlignment="1">
      <alignment horizontal="center" wrapText="1"/>
    </xf>
    <xf numFmtId="0" fontId="15" fillId="7" borderId="7" xfId="0" applyFont="1" applyFill="1" applyBorder="1" applyAlignment="1">
      <alignment horizontal="center" wrapText="1"/>
    </xf>
    <xf numFmtId="0" fontId="15" fillId="7" borderId="10" xfId="0" applyFont="1" applyFill="1" applyBorder="1" applyAlignment="1">
      <alignment horizontal="center" wrapText="1"/>
    </xf>
    <xf numFmtId="0" fontId="1" fillId="0" borderId="20" xfId="0" applyFont="1" applyBorder="1" applyAlignment="1">
      <alignment horizontal="center" vertical="center" textRotation="90" wrapText="1"/>
    </xf>
    <xf numFmtId="0" fontId="1" fillId="0" borderId="8" xfId="0" applyFont="1" applyBorder="1" applyAlignment="1">
      <alignment horizontal="center" vertical="center" textRotation="90" wrapText="1"/>
    </xf>
    <xf numFmtId="0" fontId="1" fillId="0" borderId="9" xfId="0" applyFont="1" applyBorder="1" applyAlignment="1">
      <alignment horizontal="center" vertical="center" textRotation="90" wrapText="1"/>
    </xf>
  </cellXfs>
  <cellStyles count="4">
    <cellStyle name="Comma" xfId="1" builtinId="3"/>
    <cellStyle name="Hyperlink" xfId="2" builtinId="8"/>
    <cellStyle name="Normal" xfId="0" builtinId="0"/>
    <cellStyle name="Percent" xfId="3" builtinId="5"/>
  </cellStyles>
  <dxfs count="10">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4.jpg"/><Relationship Id="rId7" Type="http://schemas.openxmlformats.org/officeDocument/2006/relationships/image" Target="../media/image8.png"/><Relationship Id="rId2" Type="http://schemas.openxmlformats.org/officeDocument/2006/relationships/image" Target="../media/image3.jpg"/><Relationship Id="rId1" Type="http://schemas.openxmlformats.org/officeDocument/2006/relationships/image" Target="../media/image2.jpg"/><Relationship Id="rId6" Type="http://schemas.openxmlformats.org/officeDocument/2006/relationships/image" Target="../media/image7.png"/><Relationship Id="rId5" Type="http://schemas.openxmlformats.org/officeDocument/2006/relationships/image" Target="../media/image6.jpg"/><Relationship Id="rId4" Type="http://schemas.openxmlformats.org/officeDocument/2006/relationships/image" Target="../media/image5.jpg"/></Relationships>
</file>

<file path=xl/drawings/drawing1.xml><?xml version="1.0" encoding="utf-8"?>
<xdr:wsDr xmlns:xdr="http://schemas.openxmlformats.org/drawingml/2006/spreadsheetDrawing" xmlns:a="http://schemas.openxmlformats.org/drawingml/2006/main">
  <xdr:twoCellAnchor editAs="oneCell">
    <xdr:from>
      <xdr:col>0</xdr:col>
      <xdr:colOff>133350</xdr:colOff>
      <xdr:row>0</xdr:row>
      <xdr:rowOff>50800</xdr:rowOff>
    </xdr:from>
    <xdr:to>
      <xdr:col>1</xdr:col>
      <xdr:colOff>1549400</xdr:colOff>
      <xdr:row>9</xdr:row>
      <xdr:rowOff>38099</xdr:rowOff>
    </xdr:to>
    <xdr:pic>
      <xdr:nvPicPr>
        <xdr:cNvPr id="6" name="Picture 1">
          <a:extLst>
            <a:ext uri="{FF2B5EF4-FFF2-40B4-BE49-F238E27FC236}">
              <a16:creationId xmlns:a16="http://schemas.microsoft.com/office/drawing/2014/main" id="{1D5295D1-954C-1326-069A-BFE0F0CA7843}"/>
            </a:ext>
          </a:extLst>
        </xdr:cNvPr>
        <xdr:cNvPicPr>
          <a:picLocks noChangeAspect="1"/>
        </xdr:cNvPicPr>
      </xdr:nvPicPr>
      <xdr:blipFill>
        <a:blip xmlns:r="http://schemas.openxmlformats.org/officeDocument/2006/relationships" r:embed="rId1"/>
        <a:stretch>
          <a:fillRect/>
        </a:stretch>
      </xdr:blipFill>
      <xdr:spPr>
        <a:xfrm>
          <a:off x="133350" y="50800"/>
          <a:ext cx="1695450" cy="1701799"/>
        </a:xfrm>
        <a:prstGeom prst="rect">
          <a:avLst/>
        </a:prstGeom>
      </xdr:spPr>
    </xdr:pic>
    <xdr:clientData/>
  </xdr:twoCellAnchor>
  <xdr:twoCellAnchor>
    <xdr:from>
      <xdr:col>1</xdr:col>
      <xdr:colOff>1562100</xdr:colOff>
      <xdr:row>0</xdr:row>
      <xdr:rowOff>47625</xdr:rowOff>
    </xdr:from>
    <xdr:to>
      <xdr:col>12</xdr:col>
      <xdr:colOff>180975</xdr:colOff>
      <xdr:row>9</xdr:row>
      <xdr:rowOff>38100</xdr:rowOff>
    </xdr:to>
    <xdr:sp macro="" textlink="">
      <xdr:nvSpPr>
        <xdr:cNvPr id="14" name="TextBox 6">
          <a:extLst>
            <a:ext uri="{FF2B5EF4-FFF2-40B4-BE49-F238E27FC236}">
              <a16:creationId xmlns:a16="http://schemas.microsoft.com/office/drawing/2014/main" id="{9DEB61B6-B1DF-A5C3-BF53-3391220D2D87}"/>
            </a:ext>
            <a:ext uri="{147F2762-F138-4A5C-976F-8EAC2B608ADB}">
              <a16:predDERef xmlns:a16="http://schemas.microsoft.com/office/drawing/2014/main" pred="{1D5295D1-954C-1326-069A-BFE0F0CA7843}"/>
            </a:ext>
          </a:extLst>
        </xdr:cNvPr>
        <xdr:cNvSpPr txBox="1"/>
      </xdr:nvSpPr>
      <xdr:spPr>
        <a:xfrm>
          <a:off x="1714500" y="47625"/>
          <a:ext cx="8743950" cy="17049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600"/>
            <a:t>At SolarTech, we are transforming the way India harnesses solar energy. Founded in 2024 and headquartered in Gujarat, we are at the forefront of the renewable energy revolution, delivering highly customized solar panel solutions to meet the diverse energy needs of our country. With the growing demand for sustainable power and the Indian government's ambitious renewable energy targets, SolarTech is positioned to be a leader in the market, offering innovative and reliable solar products that empower residential, commercial, and industrial customers to generate clean, affordable energy.</a:t>
          </a:r>
        </a:p>
        <a:p>
          <a:endParaRPr lang="en-GB" sz="1100"/>
        </a:p>
      </xdr:txBody>
    </xdr:sp>
    <xdr:clientData/>
  </xdr:twoCellAnchor>
  <xdr:twoCellAnchor>
    <xdr:from>
      <xdr:col>3</xdr:col>
      <xdr:colOff>352425</xdr:colOff>
      <xdr:row>9</xdr:row>
      <xdr:rowOff>152400</xdr:rowOff>
    </xdr:from>
    <xdr:to>
      <xdr:col>12</xdr:col>
      <xdr:colOff>190500</xdr:colOff>
      <xdr:row>18</xdr:row>
      <xdr:rowOff>238125</xdr:rowOff>
    </xdr:to>
    <xdr:sp macro="" textlink="">
      <xdr:nvSpPr>
        <xdr:cNvPr id="19" name="TextBox 1">
          <a:extLst>
            <a:ext uri="{FF2B5EF4-FFF2-40B4-BE49-F238E27FC236}">
              <a16:creationId xmlns:a16="http://schemas.microsoft.com/office/drawing/2014/main" id="{2B8F1E44-146B-E203-66B4-9CB36C554AF8}"/>
            </a:ext>
            <a:ext uri="{147F2762-F138-4A5C-976F-8EAC2B608ADB}">
              <a16:predDERef xmlns:a16="http://schemas.microsoft.com/office/drawing/2014/main" pred="{9DEB61B6-B1DF-A5C3-BF53-3391220D2D87}"/>
            </a:ext>
          </a:extLst>
        </xdr:cNvPr>
        <xdr:cNvSpPr txBox="1"/>
      </xdr:nvSpPr>
      <xdr:spPr>
        <a:xfrm>
          <a:off x="3771900" y="1866900"/>
          <a:ext cx="6696075" cy="24098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400" b="1" i="0" u="sng" strike="noStrike">
              <a:solidFill>
                <a:schemeClr val="dk1"/>
              </a:solidFill>
              <a:latin typeface="Calibri" panose="020F0502020204030204" pitchFamily="34" charset="0"/>
              <a:ea typeface="Calibri" panose="020F0502020204030204" pitchFamily="34" charset="0"/>
              <a:cs typeface="Calibri" panose="020F0502020204030204" pitchFamily="34" charset="0"/>
            </a:rPr>
            <a:t>MISSION</a:t>
          </a:r>
          <a:r>
            <a:rPr lang="en-US" sz="1400" b="0" i="0" u="none" strike="noStrike">
              <a:solidFill>
                <a:schemeClr val="dk1"/>
              </a:solidFill>
              <a:latin typeface="Calibri" panose="020F0502020204030204" pitchFamily="34" charset="0"/>
              <a:ea typeface="Calibri" panose="020F0502020204030204" pitchFamily="34" charset="0"/>
              <a:cs typeface="Calibri" panose="020F0502020204030204" pitchFamily="34" charset="0"/>
            </a:rPr>
            <a:t> -Our mission is to harness the power of the sun to create a more sustainable and energy-independent world. By combining cutting-edge technology with efficient manufacturing processes, SolarTech Solutions aims to deliver solar panels that not only reduce carbon footprints but also provide significant cost savings for our customers. We are committed to driving innovation in the solar industry, ensuring that clean energy is accessible and affordable for all.</a:t>
          </a:r>
          <a:endParaRPr lang="en-US" sz="1400" b="1" i="0" u="sng" strike="noStrike">
            <a:solidFill>
              <a:schemeClr val="dk1"/>
            </a:solidFill>
            <a:latin typeface="Calibri" panose="020F0502020204030204" pitchFamily="34" charset="0"/>
            <a:ea typeface="Calibri" panose="020F0502020204030204" pitchFamily="34" charset="0"/>
            <a:cs typeface="Calibri" panose="020F0502020204030204" pitchFamily="34" charset="0"/>
          </a:endParaRPr>
        </a:p>
        <a:p>
          <a:pPr marL="0" indent="0"/>
          <a:endParaRPr lang="en-US" sz="1400" b="1" i="0" u="sng" strike="noStrike">
            <a:solidFill>
              <a:schemeClr val="dk1"/>
            </a:solidFill>
            <a:latin typeface="Calibri" panose="020F0502020204030204" pitchFamily="34" charset="0"/>
            <a:ea typeface="Calibri" panose="020F0502020204030204" pitchFamily="34" charset="0"/>
            <a:cs typeface="Calibri" panose="020F0502020204030204" pitchFamily="34" charset="0"/>
          </a:endParaRPr>
        </a:p>
        <a:p>
          <a:pPr marL="0" indent="0"/>
          <a:r>
            <a:rPr lang="en-US" sz="1400" b="1" i="0" u="sng" strike="noStrike">
              <a:solidFill>
                <a:schemeClr val="dk1"/>
              </a:solidFill>
              <a:latin typeface="Calibri" panose="020F0502020204030204" pitchFamily="34" charset="0"/>
              <a:ea typeface="Calibri" panose="020F0502020204030204" pitchFamily="34" charset="0"/>
              <a:cs typeface="Calibri" panose="020F0502020204030204" pitchFamily="34" charset="0"/>
            </a:rPr>
            <a:t>VISION</a:t>
          </a:r>
          <a:r>
            <a:rPr lang="en-US" sz="1400" b="0" i="0" u="none" strike="noStrike">
              <a:solidFill>
                <a:schemeClr val="dk1"/>
              </a:solidFill>
              <a:latin typeface="Calibri" panose="020F0502020204030204" pitchFamily="34" charset="0"/>
              <a:ea typeface="Calibri" panose="020F0502020204030204" pitchFamily="34" charset="0"/>
              <a:cs typeface="Calibri" panose="020F0502020204030204" pitchFamily="34" charset="0"/>
            </a:rPr>
            <a:t>- With a strong focus on quality, customer service, and continuous improvement, SolarTech Solutions is set to become a leader in the renewable energy sector, contributing to a greener planet and a brighter future.</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4</xdr:row>
      <xdr:rowOff>0</xdr:rowOff>
    </xdr:from>
    <xdr:to>
      <xdr:col>1</xdr:col>
      <xdr:colOff>304800</xdr:colOff>
      <xdr:row>5</xdr:row>
      <xdr:rowOff>111124</xdr:rowOff>
    </xdr:to>
    <xdr:sp macro="" textlink="">
      <xdr:nvSpPr>
        <xdr:cNvPr id="2" name="AutoShape 11" descr="subtract">
          <a:extLst>
            <a:ext uri="{FF2B5EF4-FFF2-40B4-BE49-F238E27FC236}">
              <a16:creationId xmlns:a16="http://schemas.microsoft.com/office/drawing/2014/main" id="{0B0D37FA-EC2D-456E-A96E-D09FCB74E2F7}"/>
            </a:ext>
          </a:extLst>
        </xdr:cNvPr>
        <xdr:cNvSpPr>
          <a:spLocks noChangeAspect="1" noChangeArrowheads="1"/>
        </xdr:cNvSpPr>
      </xdr:nvSpPr>
      <xdr:spPr bwMode="auto">
        <a:xfrm>
          <a:off x="121920" y="1173480"/>
          <a:ext cx="304800" cy="30352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xdr:row>
      <xdr:rowOff>0</xdr:rowOff>
    </xdr:from>
    <xdr:to>
      <xdr:col>1</xdr:col>
      <xdr:colOff>304800</xdr:colOff>
      <xdr:row>5</xdr:row>
      <xdr:rowOff>111124</xdr:rowOff>
    </xdr:to>
    <xdr:sp macro="" textlink="">
      <xdr:nvSpPr>
        <xdr:cNvPr id="3" name="AutoShape 12" descr="subtract">
          <a:extLst>
            <a:ext uri="{FF2B5EF4-FFF2-40B4-BE49-F238E27FC236}">
              <a16:creationId xmlns:a16="http://schemas.microsoft.com/office/drawing/2014/main" id="{70A640FE-0F38-4265-A705-0587154D0110}"/>
            </a:ext>
          </a:extLst>
        </xdr:cNvPr>
        <xdr:cNvSpPr>
          <a:spLocks noChangeAspect="1" noChangeArrowheads="1"/>
        </xdr:cNvSpPr>
      </xdr:nvSpPr>
      <xdr:spPr bwMode="auto">
        <a:xfrm>
          <a:off x="121920" y="1173480"/>
          <a:ext cx="304800" cy="30352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xdr:row>
      <xdr:rowOff>0</xdr:rowOff>
    </xdr:from>
    <xdr:to>
      <xdr:col>1</xdr:col>
      <xdr:colOff>304800</xdr:colOff>
      <xdr:row>5</xdr:row>
      <xdr:rowOff>111123</xdr:rowOff>
    </xdr:to>
    <xdr:sp macro="" textlink="">
      <xdr:nvSpPr>
        <xdr:cNvPr id="4" name="AutoShape 13" descr="subtract">
          <a:extLst>
            <a:ext uri="{FF2B5EF4-FFF2-40B4-BE49-F238E27FC236}">
              <a16:creationId xmlns:a16="http://schemas.microsoft.com/office/drawing/2014/main" id="{BDBAA6AB-B777-463B-9C7C-9D68B443458F}"/>
            </a:ext>
          </a:extLst>
        </xdr:cNvPr>
        <xdr:cNvSpPr>
          <a:spLocks noChangeAspect="1" noChangeArrowheads="1"/>
        </xdr:cNvSpPr>
      </xdr:nvSpPr>
      <xdr:spPr bwMode="auto">
        <a:xfrm>
          <a:off x="121920" y="1173480"/>
          <a:ext cx="304800" cy="303528"/>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xdr:row>
      <xdr:rowOff>0</xdr:rowOff>
    </xdr:from>
    <xdr:to>
      <xdr:col>1</xdr:col>
      <xdr:colOff>304800</xdr:colOff>
      <xdr:row>5</xdr:row>
      <xdr:rowOff>111126</xdr:rowOff>
    </xdr:to>
    <xdr:sp macro="" textlink="">
      <xdr:nvSpPr>
        <xdr:cNvPr id="5" name="AutoShape 14" descr="subtract">
          <a:extLst>
            <a:ext uri="{FF2B5EF4-FFF2-40B4-BE49-F238E27FC236}">
              <a16:creationId xmlns:a16="http://schemas.microsoft.com/office/drawing/2014/main" id="{A0DEEB84-7BE8-4F30-BE14-E22B46291277}"/>
            </a:ext>
          </a:extLst>
        </xdr:cNvPr>
        <xdr:cNvSpPr>
          <a:spLocks noChangeAspect="1" noChangeArrowheads="1"/>
        </xdr:cNvSpPr>
      </xdr:nvSpPr>
      <xdr:spPr bwMode="auto">
        <a:xfrm>
          <a:off x="121920" y="1173480"/>
          <a:ext cx="304800" cy="30353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xdr:row>
      <xdr:rowOff>0</xdr:rowOff>
    </xdr:from>
    <xdr:to>
      <xdr:col>1</xdr:col>
      <xdr:colOff>304800</xdr:colOff>
      <xdr:row>5</xdr:row>
      <xdr:rowOff>111126</xdr:rowOff>
    </xdr:to>
    <xdr:sp macro="" textlink="">
      <xdr:nvSpPr>
        <xdr:cNvPr id="6" name="AutoShape 15" descr="subtract">
          <a:extLst>
            <a:ext uri="{FF2B5EF4-FFF2-40B4-BE49-F238E27FC236}">
              <a16:creationId xmlns:a16="http://schemas.microsoft.com/office/drawing/2014/main" id="{0CEA4C99-4825-46A6-B1A6-F11E354F01D1}"/>
            </a:ext>
          </a:extLst>
        </xdr:cNvPr>
        <xdr:cNvSpPr>
          <a:spLocks noChangeAspect="1" noChangeArrowheads="1"/>
        </xdr:cNvSpPr>
      </xdr:nvSpPr>
      <xdr:spPr bwMode="auto">
        <a:xfrm>
          <a:off x="121920" y="1173480"/>
          <a:ext cx="304800" cy="30353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1</xdr:col>
      <xdr:colOff>0</xdr:colOff>
      <xdr:row>4</xdr:row>
      <xdr:rowOff>0</xdr:rowOff>
    </xdr:from>
    <xdr:ext cx="304800" cy="306661"/>
    <xdr:sp macro="" textlink="">
      <xdr:nvSpPr>
        <xdr:cNvPr id="7" name="AutoShape 11" descr="subtract">
          <a:extLst>
            <a:ext uri="{FF2B5EF4-FFF2-40B4-BE49-F238E27FC236}">
              <a16:creationId xmlns:a16="http://schemas.microsoft.com/office/drawing/2014/main" id="{A637484E-370A-4104-89A1-B35B998964DE}"/>
            </a:ext>
          </a:extLst>
        </xdr:cNvPr>
        <xdr:cNvSpPr>
          <a:spLocks noChangeAspect="1" noChangeArrowheads="1"/>
        </xdr:cNvSpPr>
      </xdr:nvSpPr>
      <xdr:spPr bwMode="auto">
        <a:xfrm>
          <a:off x="121920" y="1173480"/>
          <a:ext cx="304800" cy="30666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xdr:row>
      <xdr:rowOff>0</xdr:rowOff>
    </xdr:from>
    <xdr:ext cx="304800" cy="306660"/>
    <xdr:sp macro="" textlink="">
      <xdr:nvSpPr>
        <xdr:cNvPr id="8" name="AutoShape 12" descr="subtract">
          <a:extLst>
            <a:ext uri="{FF2B5EF4-FFF2-40B4-BE49-F238E27FC236}">
              <a16:creationId xmlns:a16="http://schemas.microsoft.com/office/drawing/2014/main" id="{1E7AF44B-DB25-495F-AFED-AAF1026C50A1}"/>
            </a:ext>
          </a:extLst>
        </xdr:cNvPr>
        <xdr:cNvSpPr>
          <a:spLocks noChangeAspect="1" noChangeArrowheads="1"/>
        </xdr:cNvSpPr>
      </xdr:nvSpPr>
      <xdr:spPr bwMode="auto">
        <a:xfrm>
          <a:off x="121920" y="1173480"/>
          <a:ext cx="304800" cy="3066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xdr:row>
      <xdr:rowOff>0</xdr:rowOff>
    </xdr:from>
    <xdr:ext cx="304800" cy="306661"/>
    <xdr:sp macro="" textlink="">
      <xdr:nvSpPr>
        <xdr:cNvPr id="9" name="AutoShape 11" descr="subtract">
          <a:extLst>
            <a:ext uri="{FF2B5EF4-FFF2-40B4-BE49-F238E27FC236}">
              <a16:creationId xmlns:a16="http://schemas.microsoft.com/office/drawing/2014/main" id="{32A41E95-EAA1-4F09-94FB-96379EE6324E}"/>
            </a:ext>
          </a:extLst>
        </xdr:cNvPr>
        <xdr:cNvSpPr>
          <a:spLocks noChangeAspect="1" noChangeArrowheads="1"/>
        </xdr:cNvSpPr>
      </xdr:nvSpPr>
      <xdr:spPr bwMode="auto">
        <a:xfrm>
          <a:off x="121920" y="1173480"/>
          <a:ext cx="304800" cy="30666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xdr:row>
      <xdr:rowOff>0</xdr:rowOff>
    </xdr:from>
    <xdr:ext cx="304800" cy="306660"/>
    <xdr:sp macro="" textlink="">
      <xdr:nvSpPr>
        <xdr:cNvPr id="10" name="AutoShape 12" descr="subtract">
          <a:extLst>
            <a:ext uri="{FF2B5EF4-FFF2-40B4-BE49-F238E27FC236}">
              <a16:creationId xmlns:a16="http://schemas.microsoft.com/office/drawing/2014/main" id="{05F8786E-3EE9-4C75-BAAB-24637A6B35BA}"/>
            </a:ext>
          </a:extLst>
        </xdr:cNvPr>
        <xdr:cNvSpPr>
          <a:spLocks noChangeAspect="1" noChangeArrowheads="1"/>
        </xdr:cNvSpPr>
      </xdr:nvSpPr>
      <xdr:spPr bwMode="auto">
        <a:xfrm>
          <a:off x="121920" y="1173480"/>
          <a:ext cx="304800" cy="3066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xdr:row>
      <xdr:rowOff>0</xdr:rowOff>
    </xdr:from>
    <xdr:ext cx="304800" cy="306661"/>
    <xdr:sp macro="" textlink="">
      <xdr:nvSpPr>
        <xdr:cNvPr id="11" name="AutoShape 11" descr="subtract">
          <a:extLst>
            <a:ext uri="{FF2B5EF4-FFF2-40B4-BE49-F238E27FC236}">
              <a16:creationId xmlns:a16="http://schemas.microsoft.com/office/drawing/2014/main" id="{722B23A7-C0F6-426B-8DD4-3B110A5858AB}"/>
            </a:ext>
          </a:extLst>
        </xdr:cNvPr>
        <xdr:cNvSpPr>
          <a:spLocks noChangeAspect="1" noChangeArrowheads="1"/>
        </xdr:cNvSpPr>
      </xdr:nvSpPr>
      <xdr:spPr bwMode="auto">
        <a:xfrm>
          <a:off x="121920" y="1173480"/>
          <a:ext cx="304800" cy="30666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xdr:row>
      <xdr:rowOff>0</xdr:rowOff>
    </xdr:from>
    <xdr:ext cx="304800" cy="306660"/>
    <xdr:sp macro="" textlink="">
      <xdr:nvSpPr>
        <xdr:cNvPr id="12" name="AutoShape 12" descr="subtract">
          <a:extLst>
            <a:ext uri="{FF2B5EF4-FFF2-40B4-BE49-F238E27FC236}">
              <a16:creationId xmlns:a16="http://schemas.microsoft.com/office/drawing/2014/main" id="{41A0A2A7-5E6C-4C69-A52B-DB5BC1B9421C}"/>
            </a:ext>
          </a:extLst>
        </xdr:cNvPr>
        <xdr:cNvSpPr>
          <a:spLocks noChangeAspect="1" noChangeArrowheads="1"/>
        </xdr:cNvSpPr>
      </xdr:nvSpPr>
      <xdr:spPr bwMode="auto">
        <a:xfrm>
          <a:off x="121920" y="1173480"/>
          <a:ext cx="304800" cy="3066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xdr:row>
      <xdr:rowOff>0</xdr:rowOff>
    </xdr:from>
    <xdr:ext cx="304800" cy="306661"/>
    <xdr:sp macro="" textlink="">
      <xdr:nvSpPr>
        <xdr:cNvPr id="13" name="AutoShape 11" descr="subtract">
          <a:extLst>
            <a:ext uri="{FF2B5EF4-FFF2-40B4-BE49-F238E27FC236}">
              <a16:creationId xmlns:a16="http://schemas.microsoft.com/office/drawing/2014/main" id="{5FE0140C-C65B-47D6-A3F4-72707A9C38B6}"/>
            </a:ext>
          </a:extLst>
        </xdr:cNvPr>
        <xdr:cNvSpPr>
          <a:spLocks noChangeAspect="1" noChangeArrowheads="1"/>
        </xdr:cNvSpPr>
      </xdr:nvSpPr>
      <xdr:spPr bwMode="auto">
        <a:xfrm>
          <a:off x="121920" y="1173480"/>
          <a:ext cx="304800" cy="30666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xdr:row>
      <xdr:rowOff>0</xdr:rowOff>
    </xdr:from>
    <xdr:ext cx="304800" cy="306660"/>
    <xdr:sp macro="" textlink="">
      <xdr:nvSpPr>
        <xdr:cNvPr id="14" name="AutoShape 12" descr="subtract">
          <a:extLst>
            <a:ext uri="{FF2B5EF4-FFF2-40B4-BE49-F238E27FC236}">
              <a16:creationId xmlns:a16="http://schemas.microsoft.com/office/drawing/2014/main" id="{4E720D4A-847D-4625-B64A-868C4B7AFFA7}"/>
            </a:ext>
          </a:extLst>
        </xdr:cNvPr>
        <xdr:cNvSpPr>
          <a:spLocks noChangeAspect="1" noChangeArrowheads="1"/>
        </xdr:cNvSpPr>
      </xdr:nvSpPr>
      <xdr:spPr bwMode="auto">
        <a:xfrm>
          <a:off x="121920" y="1173480"/>
          <a:ext cx="304800" cy="3066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xdr:row>
      <xdr:rowOff>0</xdr:rowOff>
    </xdr:from>
    <xdr:ext cx="304800" cy="306661"/>
    <xdr:sp macro="" textlink="">
      <xdr:nvSpPr>
        <xdr:cNvPr id="15" name="AutoShape 11" descr="subtract">
          <a:extLst>
            <a:ext uri="{FF2B5EF4-FFF2-40B4-BE49-F238E27FC236}">
              <a16:creationId xmlns:a16="http://schemas.microsoft.com/office/drawing/2014/main" id="{7348D2D5-1DB6-45F6-9EBF-7060505DA004}"/>
            </a:ext>
          </a:extLst>
        </xdr:cNvPr>
        <xdr:cNvSpPr>
          <a:spLocks noChangeAspect="1" noChangeArrowheads="1"/>
        </xdr:cNvSpPr>
      </xdr:nvSpPr>
      <xdr:spPr bwMode="auto">
        <a:xfrm>
          <a:off x="121920" y="1173480"/>
          <a:ext cx="304800" cy="30666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xdr:row>
      <xdr:rowOff>0</xdr:rowOff>
    </xdr:from>
    <xdr:ext cx="304800" cy="306660"/>
    <xdr:sp macro="" textlink="">
      <xdr:nvSpPr>
        <xdr:cNvPr id="16" name="AutoShape 12" descr="subtract">
          <a:extLst>
            <a:ext uri="{FF2B5EF4-FFF2-40B4-BE49-F238E27FC236}">
              <a16:creationId xmlns:a16="http://schemas.microsoft.com/office/drawing/2014/main" id="{0F8512D2-0065-437B-A884-BDE19BB86D6C}"/>
            </a:ext>
          </a:extLst>
        </xdr:cNvPr>
        <xdr:cNvSpPr>
          <a:spLocks noChangeAspect="1" noChangeArrowheads="1"/>
        </xdr:cNvSpPr>
      </xdr:nvSpPr>
      <xdr:spPr bwMode="auto">
        <a:xfrm>
          <a:off x="121920" y="1173480"/>
          <a:ext cx="304800" cy="3066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xdr:row>
      <xdr:rowOff>0</xdr:rowOff>
    </xdr:from>
    <xdr:ext cx="304800" cy="308264"/>
    <xdr:sp macro="" textlink="">
      <xdr:nvSpPr>
        <xdr:cNvPr id="17" name="AutoShape 11" descr="subtract">
          <a:extLst>
            <a:ext uri="{FF2B5EF4-FFF2-40B4-BE49-F238E27FC236}">
              <a16:creationId xmlns:a16="http://schemas.microsoft.com/office/drawing/2014/main" id="{FB5F701E-0980-46B9-B667-237B56246DE0}"/>
            </a:ext>
          </a:extLst>
        </xdr:cNvPr>
        <xdr:cNvSpPr>
          <a:spLocks noChangeAspect="1" noChangeArrowheads="1"/>
        </xdr:cNvSpPr>
      </xdr:nvSpPr>
      <xdr:spPr bwMode="auto">
        <a:xfrm>
          <a:off x="121920" y="1173480"/>
          <a:ext cx="304800" cy="30826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xdr:row>
      <xdr:rowOff>0</xdr:rowOff>
    </xdr:from>
    <xdr:ext cx="304800" cy="308263"/>
    <xdr:sp macro="" textlink="">
      <xdr:nvSpPr>
        <xdr:cNvPr id="18" name="AutoShape 12" descr="subtract">
          <a:extLst>
            <a:ext uri="{FF2B5EF4-FFF2-40B4-BE49-F238E27FC236}">
              <a16:creationId xmlns:a16="http://schemas.microsoft.com/office/drawing/2014/main" id="{6A17CD40-C530-4E8D-9C12-1FE5A4CBED0B}"/>
            </a:ext>
          </a:extLst>
        </xdr:cNvPr>
        <xdr:cNvSpPr>
          <a:spLocks noChangeAspect="1" noChangeArrowheads="1"/>
        </xdr:cNvSpPr>
      </xdr:nvSpPr>
      <xdr:spPr bwMode="auto">
        <a:xfrm>
          <a:off x="121920" y="1173480"/>
          <a:ext cx="304800" cy="30826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xdr:row>
      <xdr:rowOff>0</xdr:rowOff>
    </xdr:from>
    <xdr:ext cx="304800" cy="308264"/>
    <xdr:sp macro="" textlink="">
      <xdr:nvSpPr>
        <xdr:cNvPr id="19" name="AutoShape 13" descr="subtract">
          <a:extLst>
            <a:ext uri="{FF2B5EF4-FFF2-40B4-BE49-F238E27FC236}">
              <a16:creationId xmlns:a16="http://schemas.microsoft.com/office/drawing/2014/main" id="{D62B9908-01CB-43B2-AA48-08DA3036181A}"/>
            </a:ext>
          </a:extLst>
        </xdr:cNvPr>
        <xdr:cNvSpPr>
          <a:spLocks noChangeAspect="1" noChangeArrowheads="1"/>
        </xdr:cNvSpPr>
      </xdr:nvSpPr>
      <xdr:spPr bwMode="auto">
        <a:xfrm>
          <a:off x="121920" y="1173480"/>
          <a:ext cx="304800" cy="30826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xdr:row>
      <xdr:rowOff>0</xdr:rowOff>
    </xdr:from>
    <xdr:ext cx="304800" cy="308263"/>
    <xdr:sp macro="" textlink="">
      <xdr:nvSpPr>
        <xdr:cNvPr id="20" name="AutoShape 14" descr="subtract">
          <a:extLst>
            <a:ext uri="{FF2B5EF4-FFF2-40B4-BE49-F238E27FC236}">
              <a16:creationId xmlns:a16="http://schemas.microsoft.com/office/drawing/2014/main" id="{F677A1FA-5022-4EAB-8FC0-F4D83A55B108}"/>
            </a:ext>
          </a:extLst>
        </xdr:cNvPr>
        <xdr:cNvSpPr>
          <a:spLocks noChangeAspect="1" noChangeArrowheads="1"/>
        </xdr:cNvSpPr>
      </xdr:nvSpPr>
      <xdr:spPr bwMode="auto">
        <a:xfrm>
          <a:off x="121920" y="1173480"/>
          <a:ext cx="304800" cy="30826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xdr:row>
      <xdr:rowOff>0</xdr:rowOff>
    </xdr:from>
    <xdr:ext cx="304800" cy="308264"/>
    <xdr:sp macro="" textlink="">
      <xdr:nvSpPr>
        <xdr:cNvPr id="21" name="AutoShape 15" descr="subtract">
          <a:extLst>
            <a:ext uri="{FF2B5EF4-FFF2-40B4-BE49-F238E27FC236}">
              <a16:creationId xmlns:a16="http://schemas.microsoft.com/office/drawing/2014/main" id="{6C6EB636-CF4A-4847-B89A-042A5304656A}"/>
            </a:ext>
          </a:extLst>
        </xdr:cNvPr>
        <xdr:cNvSpPr>
          <a:spLocks noChangeAspect="1" noChangeArrowheads="1"/>
        </xdr:cNvSpPr>
      </xdr:nvSpPr>
      <xdr:spPr bwMode="auto">
        <a:xfrm>
          <a:off x="121920" y="1173480"/>
          <a:ext cx="304800" cy="30826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xdr:row>
      <xdr:rowOff>0</xdr:rowOff>
    </xdr:from>
    <xdr:ext cx="304800" cy="306661"/>
    <xdr:sp macro="" textlink="">
      <xdr:nvSpPr>
        <xdr:cNvPr id="22" name="AutoShape 11" descr="subtract">
          <a:extLst>
            <a:ext uri="{FF2B5EF4-FFF2-40B4-BE49-F238E27FC236}">
              <a16:creationId xmlns:a16="http://schemas.microsoft.com/office/drawing/2014/main" id="{6FA538DD-CCC0-4A67-B6D3-F8DA3C5E84A1}"/>
            </a:ext>
          </a:extLst>
        </xdr:cNvPr>
        <xdr:cNvSpPr>
          <a:spLocks noChangeAspect="1" noChangeArrowheads="1"/>
        </xdr:cNvSpPr>
      </xdr:nvSpPr>
      <xdr:spPr bwMode="auto">
        <a:xfrm>
          <a:off x="121920" y="1173480"/>
          <a:ext cx="304800" cy="30666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xdr:row>
      <xdr:rowOff>0</xdr:rowOff>
    </xdr:from>
    <xdr:ext cx="304800" cy="306660"/>
    <xdr:sp macro="" textlink="">
      <xdr:nvSpPr>
        <xdr:cNvPr id="23" name="AutoShape 12" descr="subtract">
          <a:extLst>
            <a:ext uri="{FF2B5EF4-FFF2-40B4-BE49-F238E27FC236}">
              <a16:creationId xmlns:a16="http://schemas.microsoft.com/office/drawing/2014/main" id="{D222D27D-1A3E-430F-B38E-596B77690DAB}"/>
            </a:ext>
          </a:extLst>
        </xdr:cNvPr>
        <xdr:cNvSpPr>
          <a:spLocks noChangeAspect="1" noChangeArrowheads="1"/>
        </xdr:cNvSpPr>
      </xdr:nvSpPr>
      <xdr:spPr bwMode="auto">
        <a:xfrm>
          <a:off x="121920" y="1173480"/>
          <a:ext cx="304800" cy="3066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xdr:row>
      <xdr:rowOff>0</xdr:rowOff>
    </xdr:from>
    <xdr:ext cx="304800" cy="306661"/>
    <xdr:sp macro="" textlink="">
      <xdr:nvSpPr>
        <xdr:cNvPr id="24" name="AutoShape 11" descr="subtract">
          <a:extLst>
            <a:ext uri="{FF2B5EF4-FFF2-40B4-BE49-F238E27FC236}">
              <a16:creationId xmlns:a16="http://schemas.microsoft.com/office/drawing/2014/main" id="{F22C3B15-9ABA-43D6-ADD9-20539879434E}"/>
            </a:ext>
          </a:extLst>
        </xdr:cNvPr>
        <xdr:cNvSpPr>
          <a:spLocks noChangeAspect="1" noChangeArrowheads="1"/>
        </xdr:cNvSpPr>
      </xdr:nvSpPr>
      <xdr:spPr bwMode="auto">
        <a:xfrm>
          <a:off x="121920" y="1173480"/>
          <a:ext cx="304800" cy="30666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xdr:row>
      <xdr:rowOff>0</xdr:rowOff>
    </xdr:from>
    <xdr:ext cx="304800" cy="306660"/>
    <xdr:sp macro="" textlink="">
      <xdr:nvSpPr>
        <xdr:cNvPr id="25" name="AutoShape 12" descr="subtract">
          <a:extLst>
            <a:ext uri="{FF2B5EF4-FFF2-40B4-BE49-F238E27FC236}">
              <a16:creationId xmlns:a16="http://schemas.microsoft.com/office/drawing/2014/main" id="{7A43FD97-2068-4A03-88A2-8B0F0BFE1B4E}"/>
            </a:ext>
          </a:extLst>
        </xdr:cNvPr>
        <xdr:cNvSpPr>
          <a:spLocks noChangeAspect="1" noChangeArrowheads="1"/>
        </xdr:cNvSpPr>
      </xdr:nvSpPr>
      <xdr:spPr bwMode="auto">
        <a:xfrm>
          <a:off x="121920" y="1173480"/>
          <a:ext cx="304800" cy="3066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xdr:row>
      <xdr:rowOff>0</xdr:rowOff>
    </xdr:from>
    <xdr:ext cx="304800" cy="306661"/>
    <xdr:sp macro="" textlink="">
      <xdr:nvSpPr>
        <xdr:cNvPr id="26" name="AutoShape 11" descr="subtract">
          <a:extLst>
            <a:ext uri="{FF2B5EF4-FFF2-40B4-BE49-F238E27FC236}">
              <a16:creationId xmlns:a16="http://schemas.microsoft.com/office/drawing/2014/main" id="{7E3BE74B-4EE1-4D61-B005-4BB9883DFCB2}"/>
            </a:ext>
          </a:extLst>
        </xdr:cNvPr>
        <xdr:cNvSpPr>
          <a:spLocks noChangeAspect="1" noChangeArrowheads="1"/>
        </xdr:cNvSpPr>
      </xdr:nvSpPr>
      <xdr:spPr bwMode="auto">
        <a:xfrm>
          <a:off x="121920" y="1173480"/>
          <a:ext cx="304800" cy="30666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xdr:row>
      <xdr:rowOff>0</xdr:rowOff>
    </xdr:from>
    <xdr:ext cx="304800" cy="306660"/>
    <xdr:sp macro="" textlink="">
      <xdr:nvSpPr>
        <xdr:cNvPr id="27" name="AutoShape 12" descr="subtract">
          <a:extLst>
            <a:ext uri="{FF2B5EF4-FFF2-40B4-BE49-F238E27FC236}">
              <a16:creationId xmlns:a16="http://schemas.microsoft.com/office/drawing/2014/main" id="{8817D558-D6D3-406D-A355-6CA7684FE180}"/>
            </a:ext>
          </a:extLst>
        </xdr:cNvPr>
        <xdr:cNvSpPr>
          <a:spLocks noChangeAspect="1" noChangeArrowheads="1"/>
        </xdr:cNvSpPr>
      </xdr:nvSpPr>
      <xdr:spPr bwMode="auto">
        <a:xfrm>
          <a:off x="121920" y="1173480"/>
          <a:ext cx="304800" cy="3066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xdr:row>
      <xdr:rowOff>0</xdr:rowOff>
    </xdr:from>
    <xdr:ext cx="304800" cy="306661"/>
    <xdr:sp macro="" textlink="">
      <xdr:nvSpPr>
        <xdr:cNvPr id="28" name="AutoShape 11" descr="subtract">
          <a:extLst>
            <a:ext uri="{FF2B5EF4-FFF2-40B4-BE49-F238E27FC236}">
              <a16:creationId xmlns:a16="http://schemas.microsoft.com/office/drawing/2014/main" id="{43621242-2725-4806-9686-039D866C5FD2}"/>
            </a:ext>
          </a:extLst>
        </xdr:cNvPr>
        <xdr:cNvSpPr>
          <a:spLocks noChangeAspect="1" noChangeArrowheads="1"/>
        </xdr:cNvSpPr>
      </xdr:nvSpPr>
      <xdr:spPr bwMode="auto">
        <a:xfrm>
          <a:off x="121920" y="1173480"/>
          <a:ext cx="304800" cy="30666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xdr:row>
      <xdr:rowOff>0</xdr:rowOff>
    </xdr:from>
    <xdr:ext cx="304800" cy="306660"/>
    <xdr:sp macro="" textlink="">
      <xdr:nvSpPr>
        <xdr:cNvPr id="29" name="AutoShape 12" descr="subtract">
          <a:extLst>
            <a:ext uri="{FF2B5EF4-FFF2-40B4-BE49-F238E27FC236}">
              <a16:creationId xmlns:a16="http://schemas.microsoft.com/office/drawing/2014/main" id="{CB99F8AF-24BA-4326-8D7E-27F12947EBDC}"/>
            </a:ext>
          </a:extLst>
        </xdr:cNvPr>
        <xdr:cNvSpPr>
          <a:spLocks noChangeAspect="1" noChangeArrowheads="1"/>
        </xdr:cNvSpPr>
      </xdr:nvSpPr>
      <xdr:spPr bwMode="auto">
        <a:xfrm>
          <a:off x="121920" y="1173480"/>
          <a:ext cx="304800" cy="3066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xdr:row>
      <xdr:rowOff>0</xdr:rowOff>
    </xdr:from>
    <xdr:ext cx="304800" cy="306661"/>
    <xdr:sp macro="" textlink="">
      <xdr:nvSpPr>
        <xdr:cNvPr id="30" name="AutoShape 11" descr="subtract">
          <a:extLst>
            <a:ext uri="{FF2B5EF4-FFF2-40B4-BE49-F238E27FC236}">
              <a16:creationId xmlns:a16="http://schemas.microsoft.com/office/drawing/2014/main" id="{E1C5D95C-955C-4DE6-AD76-6FC8C682B707}"/>
            </a:ext>
          </a:extLst>
        </xdr:cNvPr>
        <xdr:cNvSpPr>
          <a:spLocks noChangeAspect="1" noChangeArrowheads="1"/>
        </xdr:cNvSpPr>
      </xdr:nvSpPr>
      <xdr:spPr bwMode="auto">
        <a:xfrm>
          <a:off x="121920" y="1173480"/>
          <a:ext cx="304800" cy="30666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xdr:row>
      <xdr:rowOff>0</xdr:rowOff>
    </xdr:from>
    <xdr:ext cx="304800" cy="306660"/>
    <xdr:sp macro="" textlink="">
      <xdr:nvSpPr>
        <xdr:cNvPr id="31" name="AutoShape 12" descr="subtract">
          <a:extLst>
            <a:ext uri="{FF2B5EF4-FFF2-40B4-BE49-F238E27FC236}">
              <a16:creationId xmlns:a16="http://schemas.microsoft.com/office/drawing/2014/main" id="{3D2C1D3B-269F-4070-A14A-115306FBB8D0}"/>
            </a:ext>
          </a:extLst>
        </xdr:cNvPr>
        <xdr:cNvSpPr>
          <a:spLocks noChangeAspect="1" noChangeArrowheads="1"/>
        </xdr:cNvSpPr>
      </xdr:nvSpPr>
      <xdr:spPr bwMode="auto">
        <a:xfrm>
          <a:off x="121920" y="1173480"/>
          <a:ext cx="304800" cy="3066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xdr:row>
      <xdr:rowOff>0</xdr:rowOff>
    </xdr:from>
    <xdr:ext cx="304800" cy="304800"/>
    <xdr:sp macro="" textlink="">
      <xdr:nvSpPr>
        <xdr:cNvPr id="32" name="AutoShape 11" descr="subtract">
          <a:extLst>
            <a:ext uri="{FF2B5EF4-FFF2-40B4-BE49-F238E27FC236}">
              <a16:creationId xmlns:a16="http://schemas.microsoft.com/office/drawing/2014/main" id="{195965A7-D58E-4F46-95E5-F5210814A1E4}"/>
            </a:ext>
          </a:extLst>
        </xdr:cNvPr>
        <xdr:cNvSpPr>
          <a:spLocks noChangeAspect="1" noChangeArrowheads="1"/>
        </xdr:cNvSpPr>
      </xdr:nvSpPr>
      <xdr:spPr bwMode="auto">
        <a:xfrm>
          <a:off x="121920" y="11734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xdr:row>
      <xdr:rowOff>0</xdr:rowOff>
    </xdr:from>
    <xdr:ext cx="304800" cy="306661"/>
    <xdr:sp macro="" textlink="">
      <xdr:nvSpPr>
        <xdr:cNvPr id="33" name="AutoShape 11" descr="subtract">
          <a:extLst>
            <a:ext uri="{FF2B5EF4-FFF2-40B4-BE49-F238E27FC236}">
              <a16:creationId xmlns:a16="http://schemas.microsoft.com/office/drawing/2014/main" id="{AE65BF0D-4706-46DC-9FE0-4C75E2644CD8}"/>
            </a:ext>
          </a:extLst>
        </xdr:cNvPr>
        <xdr:cNvSpPr>
          <a:spLocks noChangeAspect="1" noChangeArrowheads="1"/>
        </xdr:cNvSpPr>
      </xdr:nvSpPr>
      <xdr:spPr bwMode="auto">
        <a:xfrm>
          <a:off x="121920" y="1173480"/>
          <a:ext cx="304800" cy="30666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xdr:row>
      <xdr:rowOff>0</xdr:rowOff>
    </xdr:from>
    <xdr:ext cx="304800" cy="308264"/>
    <xdr:sp macro="" textlink="">
      <xdr:nvSpPr>
        <xdr:cNvPr id="34" name="AutoShape 11" descr="subtract">
          <a:extLst>
            <a:ext uri="{FF2B5EF4-FFF2-40B4-BE49-F238E27FC236}">
              <a16:creationId xmlns:a16="http://schemas.microsoft.com/office/drawing/2014/main" id="{30CDCF60-0E2A-41D4-BB0E-9D912DB585ED}"/>
            </a:ext>
          </a:extLst>
        </xdr:cNvPr>
        <xdr:cNvSpPr>
          <a:spLocks noChangeAspect="1" noChangeArrowheads="1"/>
        </xdr:cNvSpPr>
      </xdr:nvSpPr>
      <xdr:spPr bwMode="auto">
        <a:xfrm>
          <a:off x="121920" y="1173480"/>
          <a:ext cx="304800" cy="30826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xdr:row>
      <xdr:rowOff>0</xdr:rowOff>
    </xdr:from>
    <xdr:ext cx="304800" cy="306661"/>
    <xdr:sp macro="" textlink="">
      <xdr:nvSpPr>
        <xdr:cNvPr id="35" name="AutoShape 11" descr="subtract">
          <a:extLst>
            <a:ext uri="{FF2B5EF4-FFF2-40B4-BE49-F238E27FC236}">
              <a16:creationId xmlns:a16="http://schemas.microsoft.com/office/drawing/2014/main" id="{8B2061CC-84E5-4B67-AC3A-CD75BDA0B2CF}"/>
            </a:ext>
          </a:extLst>
        </xdr:cNvPr>
        <xdr:cNvSpPr>
          <a:spLocks noChangeAspect="1" noChangeArrowheads="1"/>
        </xdr:cNvSpPr>
      </xdr:nvSpPr>
      <xdr:spPr bwMode="auto">
        <a:xfrm>
          <a:off x="121920" y="1173480"/>
          <a:ext cx="304800" cy="30666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xdr:row>
      <xdr:rowOff>0</xdr:rowOff>
    </xdr:from>
    <xdr:ext cx="304800" cy="304800"/>
    <xdr:sp macro="" textlink="">
      <xdr:nvSpPr>
        <xdr:cNvPr id="36" name="AutoShape 11" descr="subtract">
          <a:extLst>
            <a:ext uri="{FF2B5EF4-FFF2-40B4-BE49-F238E27FC236}">
              <a16:creationId xmlns:a16="http://schemas.microsoft.com/office/drawing/2014/main" id="{17217D08-62C6-40FD-B316-1096B41D6590}"/>
            </a:ext>
          </a:extLst>
        </xdr:cNvPr>
        <xdr:cNvSpPr>
          <a:spLocks noChangeAspect="1" noChangeArrowheads="1"/>
        </xdr:cNvSpPr>
      </xdr:nvSpPr>
      <xdr:spPr bwMode="auto">
        <a:xfrm>
          <a:off x="121920" y="11734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xdr:row>
      <xdr:rowOff>0</xdr:rowOff>
    </xdr:from>
    <xdr:ext cx="304800" cy="304800"/>
    <xdr:sp macro="" textlink="">
      <xdr:nvSpPr>
        <xdr:cNvPr id="37" name="AutoShape 12" descr="subtract">
          <a:extLst>
            <a:ext uri="{FF2B5EF4-FFF2-40B4-BE49-F238E27FC236}">
              <a16:creationId xmlns:a16="http://schemas.microsoft.com/office/drawing/2014/main" id="{8BCEB8C7-438E-4B8E-B13F-AEE8B144F2B9}"/>
            </a:ext>
          </a:extLst>
        </xdr:cNvPr>
        <xdr:cNvSpPr>
          <a:spLocks noChangeAspect="1" noChangeArrowheads="1"/>
        </xdr:cNvSpPr>
      </xdr:nvSpPr>
      <xdr:spPr bwMode="auto">
        <a:xfrm>
          <a:off x="121920" y="11734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xdr:row>
      <xdr:rowOff>0</xdr:rowOff>
    </xdr:from>
    <xdr:ext cx="304800" cy="306661"/>
    <xdr:sp macro="" textlink="">
      <xdr:nvSpPr>
        <xdr:cNvPr id="38" name="AutoShape 11" descr="subtract">
          <a:extLst>
            <a:ext uri="{FF2B5EF4-FFF2-40B4-BE49-F238E27FC236}">
              <a16:creationId xmlns:a16="http://schemas.microsoft.com/office/drawing/2014/main" id="{FFDFC58E-F647-47F2-A244-D454DF86FA12}"/>
            </a:ext>
          </a:extLst>
        </xdr:cNvPr>
        <xdr:cNvSpPr>
          <a:spLocks noChangeAspect="1" noChangeArrowheads="1"/>
        </xdr:cNvSpPr>
      </xdr:nvSpPr>
      <xdr:spPr bwMode="auto">
        <a:xfrm>
          <a:off x="121920" y="1173480"/>
          <a:ext cx="304800" cy="30666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xdr:row>
      <xdr:rowOff>0</xdr:rowOff>
    </xdr:from>
    <xdr:ext cx="304800" cy="306660"/>
    <xdr:sp macro="" textlink="">
      <xdr:nvSpPr>
        <xdr:cNvPr id="39" name="AutoShape 12" descr="subtract">
          <a:extLst>
            <a:ext uri="{FF2B5EF4-FFF2-40B4-BE49-F238E27FC236}">
              <a16:creationId xmlns:a16="http://schemas.microsoft.com/office/drawing/2014/main" id="{74F6D718-06DF-40ED-BD51-F661D7CCB042}"/>
            </a:ext>
          </a:extLst>
        </xdr:cNvPr>
        <xdr:cNvSpPr>
          <a:spLocks noChangeAspect="1" noChangeArrowheads="1"/>
        </xdr:cNvSpPr>
      </xdr:nvSpPr>
      <xdr:spPr bwMode="auto">
        <a:xfrm>
          <a:off x="121920" y="1173480"/>
          <a:ext cx="304800" cy="3066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xdr:row>
      <xdr:rowOff>0</xdr:rowOff>
    </xdr:from>
    <xdr:ext cx="304800" cy="308264"/>
    <xdr:sp macro="" textlink="">
      <xdr:nvSpPr>
        <xdr:cNvPr id="40" name="AutoShape 11" descr="subtract">
          <a:extLst>
            <a:ext uri="{FF2B5EF4-FFF2-40B4-BE49-F238E27FC236}">
              <a16:creationId xmlns:a16="http://schemas.microsoft.com/office/drawing/2014/main" id="{086B9B38-920A-4FC1-B4CD-AA542D9CC118}"/>
            </a:ext>
          </a:extLst>
        </xdr:cNvPr>
        <xdr:cNvSpPr>
          <a:spLocks noChangeAspect="1" noChangeArrowheads="1"/>
        </xdr:cNvSpPr>
      </xdr:nvSpPr>
      <xdr:spPr bwMode="auto">
        <a:xfrm>
          <a:off x="121920" y="1173480"/>
          <a:ext cx="304800" cy="30826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xdr:row>
      <xdr:rowOff>0</xdr:rowOff>
    </xdr:from>
    <xdr:ext cx="304800" cy="308263"/>
    <xdr:sp macro="" textlink="">
      <xdr:nvSpPr>
        <xdr:cNvPr id="41" name="AutoShape 12" descr="subtract">
          <a:extLst>
            <a:ext uri="{FF2B5EF4-FFF2-40B4-BE49-F238E27FC236}">
              <a16:creationId xmlns:a16="http://schemas.microsoft.com/office/drawing/2014/main" id="{2AC42CB1-1FEE-4247-BCD5-2E012A978B2E}"/>
            </a:ext>
          </a:extLst>
        </xdr:cNvPr>
        <xdr:cNvSpPr>
          <a:spLocks noChangeAspect="1" noChangeArrowheads="1"/>
        </xdr:cNvSpPr>
      </xdr:nvSpPr>
      <xdr:spPr bwMode="auto">
        <a:xfrm>
          <a:off x="121920" y="1173480"/>
          <a:ext cx="304800" cy="30826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xdr:row>
      <xdr:rowOff>0</xdr:rowOff>
    </xdr:from>
    <xdr:ext cx="304800" cy="306661"/>
    <xdr:sp macro="" textlink="">
      <xdr:nvSpPr>
        <xdr:cNvPr id="42" name="AutoShape 11" descr="subtract">
          <a:extLst>
            <a:ext uri="{FF2B5EF4-FFF2-40B4-BE49-F238E27FC236}">
              <a16:creationId xmlns:a16="http://schemas.microsoft.com/office/drawing/2014/main" id="{EE0CB881-58AF-4EF1-A41C-E77100A68091}"/>
            </a:ext>
          </a:extLst>
        </xdr:cNvPr>
        <xdr:cNvSpPr>
          <a:spLocks noChangeAspect="1" noChangeArrowheads="1"/>
        </xdr:cNvSpPr>
      </xdr:nvSpPr>
      <xdr:spPr bwMode="auto">
        <a:xfrm>
          <a:off x="121920" y="1173480"/>
          <a:ext cx="304800" cy="30666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xdr:row>
      <xdr:rowOff>0</xdr:rowOff>
    </xdr:from>
    <xdr:ext cx="304800" cy="306660"/>
    <xdr:sp macro="" textlink="">
      <xdr:nvSpPr>
        <xdr:cNvPr id="43" name="AutoShape 12" descr="subtract">
          <a:extLst>
            <a:ext uri="{FF2B5EF4-FFF2-40B4-BE49-F238E27FC236}">
              <a16:creationId xmlns:a16="http://schemas.microsoft.com/office/drawing/2014/main" id="{F4BE8EC4-0288-44B1-B7E7-D2E8AA6EC8CE}"/>
            </a:ext>
          </a:extLst>
        </xdr:cNvPr>
        <xdr:cNvSpPr>
          <a:spLocks noChangeAspect="1" noChangeArrowheads="1"/>
        </xdr:cNvSpPr>
      </xdr:nvSpPr>
      <xdr:spPr bwMode="auto">
        <a:xfrm>
          <a:off x="121920" y="1173480"/>
          <a:ext cx="304800" cy="3066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xdr:row>
      <xdr:rowOff>0</xdr:rowOff>
    </xdr:from>
    <xdr:ext cx="304800" cy="302079"/>
    <xdr:sp macro="" textlink="">
      <xdr:nvSpPr>
        <xdr:cNvPr id="44" name="AutoShape 14" descr="subtract">
          <a:extLst>
            <a:ext uri="{FF2B5EF4-FFF2-40B4-BE49-F238E27FC236}">
              <a16:creationId xmlns:a16="http://schemas.microsoft.com/office/drawing/2014/main" id="{B1372180-3B41-48F9-A0CA-541A8F886A3A}"/>
            </a:ext>
          </a:extLst>
        </xdr:cNvPr>
        <xdr:cNvSpPr>
          <a:spLocks noChangeAspect="1" noChangeArrowheads="1"/>
        </xdr:cNvSpPr>
      </xdr:nvSpPr>
      <xdr:spPr bwMode="auto">
        <a:xfrm>
          <a:off x="121920" y="1173480"/>
          <a:ext cx="304800" cy="3020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xdr:row>
      <xdr:rowOff>0</xdr:rowOff>
    </xdr:from>
    <xdr:ext cx="304800" cy="302080"/>
    <xdr:sp macro="" textlink="">
      <xdr:nvSpPr>
        <xdr:cNvPr id="45" name="AutoShape 15" descr="subtract">
          <a:extLst>
            <a:ext uri="{FF2B5EF4-FFF2-40B4-BE49-F238E27FC236}">
              <a16:creationId xmlns:a16="http://schemas.microsoft.com/office/drawing/2014/main" id="{01137C3E-D9EE-47A0-9FC0-292FDC5F0290}"/>
            </a:ext>
          </a:extLst>
        </xdr:cNvPr>
        <xdr:cNvSpPr>
          <a:spLocks noChangeAspect="1" noChangeArrowheads="1"/>
        </xdr:cNvSpPr>
      </xdr:nvSpPr>
      <xdr:spPr bwMode="auto">
        <a:xfrm>
          <a:off x="121920" y="1173480"/>
          <a:ext cx="304800" cy="302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xdr:row>
      <xdr:rowOff>0</xdr:rowOff>
    </xdr:from>
    <xdr:ext cx="304800" cy="308263"/>
    <xdr:sp macro="" textlink="">
      <xdr:nvSpPr>
        <xdr:cNvPr id="46" name="AutoShape 14" descr="subtract">
          <a:extLst>
            <a:ext uri="{FF2B5EF4-FFF2-40B4-BE49-F238E27FC236}">
              <a16:creationId xmlns:a16="http://schemas.microsoft.com/office/drawing/2014/main" id="{4191C332-9A64-46C5-B1C4-3015177FEDF3}"/>
            </a:ext>
          </a:extLst>
        </xdr:cNvPr>
        <xdr:cNvSpPr>
          <a:spLocks noChangeAspect="1" noChangeArrowheads="1"/>
        </xdr:cNvSpPr>
      </xdr:nvSpPr>
      <xdr:spPr bwMode="auto">
        <a:xfrm>
          <a:off x="121920" y="1173480"/>
          <a:ext cx="304800" cy="30826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xdr:row>
      <xdr:rowOff>0</xdr:rowOff>
    </xdr:from>
    <xdr:ext cx="304800" cy="308264"/>
    <xdr:sp macro="" textlink="">
      <xdr:nvSpPr>
        <xdr:cNvPr id="47" name="AutoShape 15" descr="subtract">
          <a:extLst>
            <a:ext uri="{FF2B5EF4-FFF2-40B4-BE49-F238E27FC236}">
              <a16:creationId xmlns:a16="http://schemas.microsoft.com/office/drawing/2014/main" id="{0C9AD98F-FD27-480E-80FA-4126ED6AF94B}"/>
            </a:ext>
          </a:extLst>
        </xdr:cNvPr>
        <xdr:cNvSpPr>
          <a:spLocks noChangeAspect="1" noChangeArrowheads="1"/>
        </xdr:cNvSpPr>
      </xdr:nvSpPr>
      <xdr:spPr bwMode="auto">
        <a:xfrm>
          <a:off x="121920" y="1173480"/>
          <a:ext cx="304800" cy="30826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xdr:row>
      <xdr:rowOff>0</xdr:rowOff>
    </xdr:from>
    <xdr:ext cx="304800" cy="304800"/>
    <xdr:sp macro="" textlink="">
      <xdr:nvSpPr>
        <xdr:cNvPr id="48" name="AutoShape 11" descr="subtract">
          <a:extLst>
            <a:ext uri="{FF2B5EF4-FFF2-40B4-BE49-F238E27FC236}">
              <a16:creationId xmlns:a16="http://schemas.microsoft.com/office/drawing/2014/main" id="{47C34D4C-C81D-460E-AA80-36FE998B36B9}"/>
            </a:ext>
          </a:extLst>
        </xdr:cNvPr>
        <xdr:cNvSpPr>
          <a:spLocks noChangeAspect="1" noChangeArrowheads="1"/>
        </xdr:cNvSpPr>
      </xdr:nvSpPr>
      <xdr:spPr bwMode="auto">
        <a:xfrm>
          <a:off x="121920" y="11734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xdr:row>
      <xdr:rowOff>0</xdr:rowOff>
    </xdr:from>
    <xdr:ext cx="304800" cy="306661"/>
    <xdr:sp macro="" textlink="">
      <xdr:nvSpPr>
        <xdr:cNvPr id="49" name="AutoShape 11" descr="subtract">
          <a:extLst>
            <a:ext uri="{FF2B5EF4-FFF2-40B4-BE49-F238E27FC236}">
              <a16:creationId xmlns:a16="http://schemas.microsoft.com/office/drawing/2014/main" id="{A7E86670-8F1D-446C-92F5-8DFBB7950919}"/>
            </a:ext>
          </a:extLst>
        </xdr:cNvPr>
        <xdr:cNvSpPr>
          <a:spLocks noChangeAspect="1" noChangeArrowheads="1"/>
        </xdr:cNvSpPr>
      </xdr:nvSpPr>
      <xdr:spPr bwMode="auto">
        <a:xfrm>
          <a:off x="121920" y="1173480"/>
          <a:ext cx="304800" cy="30666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xdr:row>
      <xdr:rowOff>0</xdr:rowOff>
    </xdr:from>
    <xdr:ext cx="304800" cy="308264"/>
    <xdr:sp macro="" textlink="">
      <xdr:nvSpPr>
        <xdr:cNvPr id="50" name="AutoShape 11" descr="subtract">
          <a:extLst>
            <a:ext uri="{FF2B5EF4-FFF2-40B4-BE49-F238E27FC236}">
              <a16:creationId xmlns:a16="http://schemas.microsoft.com/office/drawing/2014/main" id="{41892784-7BBB-4C53-8C08-C77551BC4F77}"/>
            </a:ext>
          </a:extLst>
        </xdr:cNvPr>
        <xdr:cNvSpPr>
          <a:spLocks noChangeAspect="1" noChangeArrowheads="1"/>
        </xdr:cNvSpPr>
      </xdr:nvSpPr>
      <xdr:spPr bwMode="auto">
        <a:xfrm>
          <a:off x="121920" y="1173480"/>
          <a:ext cx="304800" cy="30826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xdr:row>
      <xdr:rowOff>0</xdr:rowOff>
    </xdr:from>
    <xdr:ext cx="304800" cy="306661"/>
    <xdr:sp macro="" textlink="">
      <xdr:nvSpPr>
        <xdr:cNvPr id="51" name="AutoShape 11" descr="subtract">
          <a:extLst>
            <a:ext uri="{FF2B5EF4-FFF2-40B4-BE49-F238E27FC236}">
              <a16:creationId xmlns:a16="http://schemas.microsoft.com/office/drawing/2014/main" id="{3879E45E-8F00-4072-AFD9-3ED8AC7DEE09}"/>
            </a:ext>
          </a:extLst>
        </xdr:cNvPr>
        <xdr:cNvSpPr>
          <a:spLocks noChangeAspect="1" noChangeArrowheads="1"/>
        </xdr:cNvSpPr>
      </xdr:nvSpPr>
      <xdr:spPr bwMode="auto">
        <a:xfrm>
          <a:off x="121920" y="1173480"/>
          <a:ext cx="304800" cy="30666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xdr:row>
      <xdr:rowOff>0</xdr:rowOff>
    </xdr:from>
    <xdr:ext cx="304800" cy="304800"/>
    <xdr:sp macro="" textlink="">
      <xdr:nvSpPr>
        <xdr:cNvPr id="52" name="AutoShape 11" descr="subtract">
          <a:extLst>
            <a:ext uri="{FF2B5EF4-FFF2-40B4-BE49-F238E27FC236}">
              <a16:creationId xmlns:a16="http://schemas.microsoft.com/office/drawing/2014/main" id="{474FE16D-033B-49C1-B5F9-27A60FF9E76E}"/>
            </a:ext>
          </a:extLst>
        </xdr:cNvPr>
        <xdr:cNvSpPr>
          <a:spLocks noChangeAspect="1" noChangeArrowheads="1"/>
        </xdr:cNvSpPr>
      </xdr:nvSpPr>
      <xdr:spPr bwMode="auto">
        <a:xfrm>
          <a:off x="121920" y="11734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xdr:row>
      <xdr:rowOff>0</xdr:rowOff>
    </xdr:from>
    <xdr:ext cx="304800" cy="304800"/>
    <xdr:sp macro="" textlink="">
      <xdr:nvSpPr>
        <xdr:cNvPr id="53" name="AutoShape 12" descr="subtract">
          <a:extLst>
            <a:ext uri="{FF2B5EF4-FFF2-40B4-BE49-F238E27FC236}">
              <a16:creationId xmlns:a16="http://schemas.microsoft.com/office/drawing/2014/main" id="{0D185A64-FC12-4CF8-B491-A116AAF0ED29}"/>
            </a:ext>
          </a:extLst>
        </xdr:cNvPr>
        <xdr:cNvSpPr>
          <a:spLocks noChangeAspect="1" noChangeArrowheads="1"/>
        </xdr:cNvSpPr>
      </xdr:nvSpPr>
      <xdr:spPr bwMode="auto">
        <a:xfrm>
          <a:off x="121920" y="11734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xdr:row>
      <xdr:rowOff>0</xdr:rowOff>
    </xdr:from>
    <xdr:ext cx="304800" cy="306661"/>
    <xdr:sp macro="" textlink="">
      <xdr:nvSpPr>
        <xdr:cNvPr id="54" name="AutoShape 11" descr="subtract">
          <a:extLst>
            <a:ext uri="{FF2B5EF4-FFF2-40B4-BE49-F238E27FC236}">
              <a16:creationId xmlns:a16="http://schemas.microsoft.com/office/drawing/2014/main" id="{21F170C4-87F0-4CD3-AFF8-F86754A8B73E}"/>
            </a:ext>
          </a:extLst>
        </xdr:cNvPr>
        <xdr:cNvSpPr>
          <a:spLocks noChangeAspect="1" noChangeArrowheads="1"/>
        </xdr:cNvSpPr>
      </xdr:nvSpPr>
      <xdr:spPr bwMode="auto">
        <a:xfrm>
          <a:off x="121920" y="1173480"/>
          <a:ext cx="304800" cy="30666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xdr:row>
      <xdr:rowOff>0</xdr:rowOff>
    </xdr:from>
    <xdr:ext cx="304800" cy="306660"/>
    <xdr:sp macro="" textlink="">
      <xdr:nvSpPr>
        <xdr:cNvPr id="55" name="AutoShape 12" descr="subtract">
          <a:extLst>
            <a:ext uri="{FF2B5EF4-FFF2-40B4-BE49-F238E27FC236}">
              <a16:creationId xmlns:a16="http://schemas.microsoft.com/office/drawing/2014/main" id="{13A8DFE4-1E7D-47AA-A51F-1B8B50CFE81F}"/>
            </a:ext>
          </a:extLst>
        </xdr:cNvPr>
        <xdr:cNvSpPr>
          <a:spLocks noChangeAspect="1" noChangeArrowheads="1"/>
        </xdr:cNvSpPr>
      </xdr:nvSpPr>
      <xdr:spPr bwMode="auto">
        <a:xfrm>
          <a:off x="121920" y="1173480"/>
          <a:ext cx="304800" cy="3066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xdr:row>
      <xdr:rowOff>0</xdr:rowOff>
    </xdr:from>
    <xdr:ext cx="304800" cy="308264"/>
    <xdr:sp macro="" textlink="">
      <xdr:nvSpPr>
        <xdr:cNvPr id="56" name="AutoShape 11" descr="subtract">
          <a:extLst>
            <a:ext uri="{FF2B5EF4-FFF2-40B4-BE49-F238E27FC236}">
              <a16:creationId xmlns:a16="http://schemas.microsoft.com/office/drawing/2014/main" id="{221D39C0-3248-4525-8A21-C5F6F6FEE771}"/>
            </a:ext>
          </a:extLst>
        </xdr:cNvPr>
        <xdr:cNvSpPr>
          <a:spLocks noChangeAspect="1" noChangeArrowheads="1"/>
        </xdr:cNvSpPr>
      </xdr:nvSpPr>
      <xdr:spPr bwMode="auto">
        <a:xfrm>
          <a:off x="121920" y="1173480"/>
          <a:ext cx="304800" cy="30826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xdr:row>
      <xdr:rowOff>0</xdr:rowOff>
    </xdr:from>
    <xdr:ext cx="304800" cy="308263"/>
    <xdr:sp macro="" textlink="">
      <xdr:nvSpPr>
        <xdr:cNvPr id="57" name="AutoShape 12" descr="subtract">
          <a:extLst>
            <a:ext uri="{FF2B5EF4-FFF2-40B4-BE49-F238E27FC236}">
              <a16:creationId xmlns:a16="http://schemas.microsoft.com/office/drawing/2014/main" id="{ED0E595B-EE08-43BC-B413-954290184094}"/>
            </a:ext>
          </a:extLst>
        </xdr:cNvPr>
        <xdr:cNvSpPr>
          <a:spLocks noChangeAspect="1" noChangeArrowheads="1"/>
        </xdr:cNvSpPr>
      </xdr:nvSpPr>
      <xdr:spPr bwMode="auto">
        <a:xfrm>
          <a:off x="121920" y="1173480"/>
          <a:ext cx="304800" cy="30826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xdr:row>
      <xdr:rowOff>0</xdr:rowOff>
    </xdr:from>
    <xdr:ext cx="304800" cy="306661"/>
    <xdr:sp macro="" textlink="">
      <xdr:nvSpPr>
        <xdr:cNvPr id="58" name="AutoShape 11" descr="subtract">
          <a:extLst>
            <a:ext uri="{FF2B5EF4-FFF2-40B4-BE49-F238E27FC236}">
              <a16:creationId xmlns:a16="http://schemas.microsoft.com/office/drawing/2014/main" id="{EA3C2F23-0188-4E42-AB29-64334DC4008C}"/>
            </a:ext>
          </a:extLst>
        </xdr:cNvPr>
        <xdr:cNvSpPr>
          <a:spLocks noChangeAspect="1" noChangeArrowheads="1"/>
        </xdr:cNvSpPr>
      </xdr:nvSpPr>
      <xdr:spPr bwMode="auto">
        <a:xfrm>
          <a:off x="121920" y="1173480"/>
          <a:ext cx="304800" cy="30666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xdr:row>
      <xdr:rowOff>0</xdr:rowOff>
    </xdr:from>
    <xdr:ext cx="304800" cy="306660"/>
    <xdr:sp macro="" textlink="">
      <xdr:nvSpPr>
        <xdr:cNvPr id="59" name="AutoShape 12" descr="subtract">
          <a:extLst>
            <a:ext uri="{FF2B5EF4-FFF2-40B4-BE49-F238E27FC236}">
              <a16:creationId xmlns:a16="http://schemas.microsoft.com/office/drawing/2014/main" id="{2247B172-902B-4FF7-B27B-718BC7654AE8}"/>
            </a:ext>
          </a:extLst>
        </xdr:cNvPr>
        <xdr:cNvSpPr>
          <a:spLocks noChangeAspect="1" noChangeArrowheads="1"/>
        </xdr:cNvSpPr>
      </xdr:nvSpPr>
      <xdr:spPr bwMode="auto">
        <a:xfrm>
          <a:off x="121920" y="1173480"/>
          <a:ext cx="304800" cy="3066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1</xdr:col>
      <xdr:colOff>0</xdr:colOff>
      <xdr:row>4</xdr:row>
      <xdr:rowOff>0</xdr:rowOff>
    </xdr:from>
    <xdr:to>
      <xdr:col>1</xdr:col>
      <xdr:colOff>304800</xdr:colOff>
      <xdr:row>5</xdr:row>
      <xdr:rowOff>111126</xdr:rowOff>
    </xdr:to>
    <xdr:sp macro="" textlink="">
      <xdr:nvSpPr>
        <xdr:cNvPr id="60" name="AutoShape 16" descr="add">
          <a:extLst>
            <a:ext uri="{FF2B5EF4-FFF2-40B4-BE49-F238E27FC236}">
              <a16:creationId xmlns:a16="http://schemas.microsoft.com/office/drawing/2014/main" id="{34A7533D-E1EB-44B0-8238-21238E7E1FCC}"/>
            </a:ext>
          </a:extLst>
        </xdr:cNvPr>
        <xdr:cNvSpPr>
          <a:spLocks noChangeAspect="1" noChangeArrowheads="1"/>
        </xdr:cNvSpPr>
      </xdr:nvSpPr>
      <xdr:spPr bwMode="auto">
        <a:xfrm>
          <a:off x="121920" y="1356360"/>
          <a:ext cx="304800" cy="30353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xdr:row>
      <xdr:rowOff>0</xdr:rowOff>
    </xdr:from>
    <xdr:to>
      <xdr:col>1</xdr:col>
      <xdr:colOff>304800</xdr:colOff>
      <xdr:row>5</xdr:row>
      <xdr:rowOff>111125</xdr:rowOff>
    </xdr:to>
    <xdr:sp macro="" textlink="">
      <xdr:nvSpPr>
        <xdr:cNvPr id="61" name="AutoShape 17" descr="add">
          <a:extLst>
            <a:ext uri="{FF2B5EF4-FFF2-40B4-BE49-F238E27FC236}">
              <a16:creationId xmlns:a16="http://schemas.microsoft.com/office/drawing/2014/main" id="{A82E79CE-4D83-48A9-9847-C51E7CBC9891}"/>
            </a:ext>
          </a:extLst>
        </xdr:cNvPr>
        <xdr:cNvSpPr>
          <a:spLocks noChangeAspect="1" noChangeArrowheads="1"/>
        </xdr:cNvSpPr>
      </xdr:nvSpPr>
      <xdr:spPr bwMode="auto">
        <a:xfrm>
          <a:off x="121920" y="1356360"/>
          <a:ext cx="304800" cy="30353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1</xdr:col>
      <xdr:colOff>0</xdr:colOff>
      <xdr:row>4</xdr:row>
      <xdr:rowOff>0</xdr:rowOff>
    </xdr:from>
    <xdr:ext cx="304800" cy="306660"/>
    <xdr:sp macro="" textlink="">
      <xdr:nvSpPr>
        <xdr:cNvPr id="62" name="AutoShape 16" descr="add">
          <a:extLst>
            <a:ext uri="{FF2B5EF4-FFF2-40B4-BE49-F238E27FC236}">
              <a16:creationId xmlns:a16="http://schemas.microsoft.com/office/drawing/2014/main" id="{B59E5E25-B1EF-4129-AACB-665A9278127F}"/>
            </a:ext>
          </a:extLst>
        </xdr:cNvPr>
        <xdr:cNvSpPr>
          <a:spLocks noChangeAspect="1" noChangeArrowheads="1"/>
        </xdr:cNvSpPr>
      </xdr:nvSpPr>
      <xdr:spPr bwMode="auto">
        <a:xfrm>
          <a:off x="121920" y="1356360"/>
          <a:ext cx="304800" cy="3066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xdr:row>
      <xdr:rowOff>0</xdr:rowOff>
    </xdr:from>
    <xdr:ext cx="304800" cy="306660"/>
    <xdr:sp macro="" textlink="">
      <xdr:nvSpPr>
        <xdr:cNvPr id="63" name="AutoShape 17" descr="add">
          <a:extLst>
            <a:ext uri="{FF2B5EF4-FFF2-40B4-BE49-F238E27FC236}">
              <a16:creationId xmlns:a16="http://schemas.microsoft.com/office/drawing/2014/main" id="{12FE7D3A-A5D7-461D-88D3-D0A947DBFE96}"/>
            </a:ext>
          </a:extLst>
        </xdr:cNvPr>
        <xdr:cNvSpPr>
          <a:spLocks noChangeAspect="1" noChangeArrowheads="1"/>
        </xdr:cNvSpPr>
      </xdr:nvSpPr>
      <xdr:spPr bwMode="auto">
        <a:xfrm>
          <a:off x="121920" y="1356360"/>
          <a:ext cx="304800" cy="3066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1</xdr:col>
      <xdr:colOff>0</xdr:colOff>
      <xdr:row>4</xdr:row>
      <xdr:rowOff>0</xdr:rowOff>
    </xdr:from>
    <xdr:to>
      <xdr:col>1</xdr:col>
      <xdr:colOff>304800</xdr:colOff>
      <xdr:row>5</xdr:row>
      <xdr:rowOff>111126</xdr:rowOff>
    </xdr:to>
    <xdr:sp macro="" textlink="">
      <xdr:nvSpPr>
        <xdr:cNvPr id="64" name="AutoShape 18" descr="add">
          <a:extLst>
            <a:ext uri="{FF2B5EF4-FFF2-40B4-BE49-F238E27FC236}">
              <a16:creationId xmlns:a16="http://schemas.microsoft.com/office/drawing/2014/main" id="{BFA6D007-D7EC-4F4A-A870-11DE45B94897}"/>
            </a:ext>
          </a:extLst>
        </xdr:cNvPr>
        <xdr:cNvSpPr>
          <a:spLocks noChangeAspect="1" noChangeArrowheads="1"/>
        </xdr:cNvSpPr>
      </xdr:nvSpPr>
      <xdr:spPr bwMode="auto">
        <a:xfrm>
          <a:off x="121920" y="1356360"/>
          <a:ext cx="304800" cy="30353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xdr:row>
      <xdr:rowOff>0</xdr:rowOff>
    </xdr:from>
    <xdr:to>
      <xdr:col>1</xdr:col>
      <xdr:colOff>304800</xdr:colOff>
      <xdr:row>5</xdr:row>
      <xdr:rowOff>111125</xdr:rowOff>
    </xdr:to>
    <xdr:sp macro="" textlink="">
      <xdr:nvSpPr>
        <xdr:cNvPr id="65" name="AutoShape 19" descr="add">
          <a:extLst>
            <a:ext uri="{FF2B5EF4-FFF2-40B4-BE49-F238E27FC236}">
              <a16:creationId xmlns:a16="http://schemas.microsoft.com/office/drawing/2014/main" id="{271EAA25-F836-4F47-BB10-AA65F12AB795}"/>
            </a:ext>
          </a:extLst>
        </xdr:cNvPr>
        <xdr:cNvSpPr>
          <a:spLocks noChangeAspect="1" noChangeArrowheads="1"/>
        </xdr:cNvSpPr>
      </xdr:nvSpPr>
      <xdr:spPr bwMode="auto">
        <a:xfrm>
          <a:off x="121920" y="1356360"/>
          <a:ext cx="304800" cy="30353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xdr:row>
      <xdr:rowOff>0</xdr:rowOff>
    </xdr:from>
    <xdr:to>
      <xdr:col>1</xdr:col>
      <xdr:colOff>304800</xdr:colOff>
      <xdr:row>5</xdr:row>
      <xdr:rowOff>111123</xdr:rowOff>
    </xdr:to>
    <xdr:sp macro="" textlink="">
      <xdr:nvSpPr>
        <xdr:cNvPr id="66" name="AutoShape 20" descr="add">
          <a:extLst>
            <a:ext uri="{FF2B5EF4-FFF2-40B4-BE49-F238E27FC236}">
              <a16:creationId xmlns:a16="http://schemas.microsoft.com/office/drawing/2014/main" id="{0F4E57A1-2F35-4C3B-8C48-ED7AD42C461B}"/>
            </a:ext>
          </a:extLst>
        </xdr:cNvPr>
        <xdr:cNvSpPr>
          <a:spLocks noChangeAspect="1" noChangeArrowheads="1"/>
        </xdr:cNvSpPr>
      </xdr:nvSpPr>
      <xdr:spPr bwMode="auto">
        <a:xfrm>
          <a:off x="121920" y="1356360"/>
          <a:ext cx="304800" cy="303528"/>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xdr:row>
      <xdr:rowOff>0</xdr:rowOff>
    </xdr:from>
    <xdr:to>
      <xdr:col>1</xdr:col>
      <xdr:colOff>304800</xdr:colOff>
      <xdr:row>5</xdr:row>
      <xdr:rowOff>111126</xdr:rowOff>
    </xdr:to>
    <xdr:sp macro="" textlink="">
      <xdr:nvSpPr>
        <xdr:cNvPr id="67" name="AutoShape 21" descr="add">
          <a:extLst>
            <a:ext uri="{FF2B5EF4-FFF2-40B4-BE49-F238E27FC236}">
              <a16:creationId xmlns:a16="http://schemas.microsoft.com/office/drawing/2014/main" id="{60B0E4EF-AB20-40E0-A5EF-16FC45511DA1}"/>
            </a:ext>
          </a:extLst>
        </xdr:cNvPr>
        <xdr:cNvSpPr>
          <a:spLocks noChangeAspect="1" noChangeArrowheads="1"/>
        </xdr:cNvSpPr>
      </xdr:nvSpPr>
      <xdr:spPr bwMode="auto">
        <a:xfrm>
          <a:off x="121920" y="1356360"/>
          <a:ext cx="304800" cy="30353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xdr:row>
      <xdr:rowOff>0</xdr:rowOff>
    </xdr:from>
    <xdr:to>
      <xdr:col>1</xdr:col>
      <xdr:colOff>304800</xdr:colOff>
      <xdr:row>5</xdr:row>
      <xdr:rowOff>111125</xdr:rowOff>
    </xdr:to>
    <xdr:sp macro="" textlink="">
      <xdr:nvSpPr>
        <xdr:cNvPr id="68" name="AutoShape 22" descr="add">
          <a:extLst>
            <a:ext uri="{FF2B5EF4-FFF2-40B4-BE49-F238E27FC236}">
              <a16:creationId xmlns:a16="http://schemas.microsoft.com/office/drawing/2014/main" id="{BFEADC85-D164-4709-A7A6-65D696184A36}"/>
            </a:ext>
          </a:extLst>
        </xdr:cNvPr>
        <xdr:cNvSpPr>
          <a:spLocks noChangeAspect="1" noChangeArrowheads="1"/>
        </xdr:cNvSpPr>
      </xdr:nvSpPr>
      <xdr:spPr bwMode="auto">
        <a:xfrm>
          <a:off x="121920" y="1356360"/>
          <a:ext cx="304800" cy="30353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1</xdr:col>
      <xdr:colOff>0</xdr:colOff>
      <xdr:row>4</xdr:row>
      <xdr:rowOff>0</xdr:rowOff>
    </xdr:from>
    <xdr:ext cx="304800" cy="306660"/>
    <xdr:sp macro="" textlink="">
      <xdr:nvSpPr>
        <xdr:cNvPr id="69" name="AutoShape 18" descr="add">
          <a:extLst>
            <a:ext uri="{FF2B5EF4-FFF2-40B4-BE49-F238E27FC236}">
              <a16:creationId xmlns:a16="http://schemas.microsoft.com/office/drawing/2014/main" id="{8901D5A5-59F2-4C11-8B6B-7495004357A1}"/>
            </a:ext>
          </a:extLst>
        </xdr:cNvPr>
        <xdr:cNvSpPr>
          <a:spLocks noChangeAspect="1" noChangeArrowheads="1"/>
        </xdr:cNvSpPr>
      </xdr:nvSpPr>
      <xdr:spPr bwMode="auto">
        <a:xfrm>
          <a:off x="121920" y="1356360"/>
          <a:ext cx="304800" cy="3066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xdr:row>
      <xdr:rowOff>0</xdr:rowOff>
    </xdr:from>
    <xdr:ext cx="304800" cy="306661"/>
    <xdr:sp macro="" textlink="">
      <xdr:nvSpPr>
        <xdr:cNvPr id="70" name="AutoShape 19" descr="add">
          <a:extLst>
            <a:ext uri="{FF2B5EF4-FFF2-40B4-BE49-F238E27FC236}">
              <a16:creationId xmlns:a16="http://schemas.microsoft.com/office/drawing/2014/main" id="{87B1253F-D638-4E57-856C-1F017FE5A173}"/>
            </a:ext>
          </a:extLst>
        </xdr:cNvPr>
        <xdr:cNvSpPr>
          <a:spLocks noChangeAspect="1" noChangeArrowheads="1"/>
        </xdr:cNvSpPr>
      </xdr:nvSpPr>
      <xdr:spPr bwMode="auto">
        <a:xfrm>
          <a:off x="121920" y="1356360"/>
          <a:ext cx="304800" cy="30666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xdr:row>
      <xdr:rowOff>0</xdr:rowOff>
    </xdr:from>
    <xdr:ext cx="304800" cy="306660"/>
    <xdr:sp macro="" textlink="">
      <xdr:nvSpPr>
        <xdr:cNvPr id="71" name="AutoShape 20" descr="add">
          <a:extLst>
            <a:ext uri="{FF2B5EF4-FFF2-40B4-BE49-F238E27FC236}">
              <a16:creationId xmlns:a16="http://schemas.microsoft.com/office/drawing/2014/main" id="{41D7B580-44AE-4B8C-ADE8-561BA7F3F88E}"/>
            </a:ext>
          </a:extLst>
        </xdr:cNvPr>
        <xdr:cNvSpPr>
          <a:spLocks noChangeAspect="1" noChangeArrowheads="1"/>
        </xdr:cNvSpPr>
      </xdr:nvSpPr>
      <xdr:spPr bwMode="auto">
        <a:xfrm>
          <a:off x="121920" y="1356360"/>
          <a:ext cx="304800" cy="3066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xdr:row>
      <xdr:rowOff>0</xdr:rowOff>
    </xdr:from>
    <xdr:ext cx="304800" cy="306660"/>
    <xdr:sp macro="" textlink="">
      <xdr:nvSpPr>
        <xdr:cNvPr id="72" name="AutoShape 21" descr="add">
          <a:extLst>
            <a:ext uri="{FF2B5EF4-FFF2-40B4-BE49-F238E27FC236}">
              <a16:creationId xmlns:a16="http://schemas.microsoft.com/office/drawing/2014/main" id="{FBA83492-7276-496D-94C8-FEA98495860E}"/>
            </a:ext>
          </a:extLst>
        </xdr:cNvPr>
        <xdr:cNvSpPr>
          <a:spLocks noChangeAspect="1" noChangeArrowheads="1"/>
        </xdr:cNvSpPr>
      </xdr:nvSpPr>
      <xdr:spPr bwMode="auto">
        <a:xfrm>
          <a:off x="121920" y="1356360"/>
          <a:ext cx="304800" cy="3066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xdr:row>
      <xdr:rowOff>0</xdr:rowOff>
    </xdr:from>
    <xdr:ext cx="304800" cy="306660"/>
    <xdr:sp macro="" textlink="">
      <xdr:nvSpPr>
        <xdr:cNvPr id="73" name="AutoShape 22" descr="add">
          <a:extLst>
            <a:ext uri="{FF2B5EF4-FFF2-40B4-BE49-F238E27FC236}">
              <a16:creationId xmlns:a16="http://schemas.microsoft.com/office/drawing/2014/main" id="{B38B4B88-615E-41A6-8E11-7985B3009AE8}"/>
            </a:ext>
          </a:extLst>
        </xdr:cNvPr>
        <xdr:cNvSpPr>
          <a:spLocks noChangeAspect="1" noChangeArrowheads="1"/>
        </xdr:cNvSpPr>
      </xdr:nvSpPr>
      <xdr:spPr bwMode="auto">
        <a:xfrm>
          <a:off x="121920" y="1356360"/>
          <a:ext cx="304800" cy="3066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xdr:row>
      <xdr:rowOff>0</xdr:rowOff>
    </xdr:from>
    <xdr:ext cx="304800" cy="306660"/>
    <xdr:sp macro="" textlink="">
      <xdr:nvSpPr>
        <xdr:cNvPr id="74" name="AutoShape 18" descr="add">
          <a:extLst>
            <a:ext uri="{FF2B5EF4-FFF2-40B4-BE49-F238E27FC236}">
              <a16:creationId xmlns:a16="http://schemas.microsoft.com/office/drawing/2014/main" id="{DF6C9A2D-085C-44C5-A363-3DCE8F0DCA19}"/>
            </a:ext>
          </a:extLst>
        </xdr:cNvPr>
        <xdr:cNvSpPr>
          <a:spLocks noChangeAspect="1" noChangeArrowheads="1"/>
        </xdr:cNvSpPr>
      </xdr:nvSpPr>
      <xdr:spPr bwMode="auto">
        <a:xfrm>
          <a:off x="121920" y="1356360"/>
          <a:ext cx="304800" cy="3066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xdr:row>
      <xdr:rowOff>0</xdr:rowOff>
    </xdr:from>
    <xdr:ext cx="304800" cy="306661"/>
    <xdr:sp macro="" textlink="">
      <xdr:nvSpPr>
        <xdr:cNvPr id="75" name="AutoShape 19" descr="add">
          <a:extLst>
            <a:ext uri="{FF2B5EF4-FFF2-40B4-BE49-F238E27FC236}">
              <a16:creationId xmlns:a16="http://schemas.microsoft.com/office/drawing/2014/main" id="{655EFE5B-2461-4F32-983E-A323D19DF0D3}"/>
            </a:ext>
          </a:extLst>
        </xdr:cNvPr>
        <xdr:cNvSpPr>
          <a:spLocks noChangeAspect="1" noChangeArrowheads="1"/>
        </xdr:cNvSpPr>
      </xdr:nvSpPr>
      <xdr:spPr bwMode="auto">
        <a:xfrm>
          <a:off x="121920" y="1356360"/>
          <a:ext cx="304800" cy="30666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xdr:row>
      <xdr:rowOff>0</xdr:rowOff>
    </xdr:from>
    <xdr:ext cx="304800" cy="306660"/>
    <xdr:sp macro="" textlink="">
      <xdr:nvSpPr>
        <xdr:cNvPr id="76" name="AutoShape 20" descr="add">
          <a:extLst>
            <a:ext uri="{FF2B5EF4-FFF2-40B4-BE49-F238E27FC236}">
              <a16:creationId xmlns:a16="http://schemas.microsoft.com/office/drawing/2014/main" id="{8C99DE3F-0505-42FB-8851-C9C9A6ABD6F1}"/>
            </a:ext>
          </a:extLst>
        </xdr:cNvPr>
        <xdr:cNvSpPr>
          <a:spLocks noChangeAspect="1" noChangeArrowheads="1"/>
        </xdr:cNvSpPr>
      </xdr:nvSpPr>
      <xdr:spPr bwMode="auto">
        <a:xfrm>
          <a:off x="121920" y="1356360"/>
          <a:ext cx="304800" cy="3066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xdr:row>
      <xdr:rowOff>0</xdr:rowOff>
    </xdr:from>
    <xdr:ext cx="304800" cy="306660"/>
    <xdr:sp macro="" textlink="">
      <xdr:nvSpPr>
        <xdr:cNvPr id="77" name="AutoShape 21" descr="add">
          <a:extLst>
            <a:ext uri="{FF2B5EF4-FFF2-40B4-BE49-F238E27FC236}">
              <a16:creationId xmlns:a16="http://schemas.microsoft.com/office/drawing/2014/main" id="{35158420-3188-4406-B337-033901956B79}"/>
            </a:ext>
          </a:extLst>
        </xdr:cNvPr>
        <xdr:cNvSpPr>
          <a:spLocks noChangeAspect="1" noChangeArrowheads="1"/>
        </xdr:cNvSpPr>
      </xdr:nvSpPr>
      <xdr:spPr bwMode="auto">
        <a:xfrm>
          <a:off x="121920" y="1356360"/>
          <a:ext cx="304800" cy="3066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xdr:row>
      <xdr:rowOff>0</xdr:rowOff>
    </xdr:from>
    <xdr:ext cx="304800" cy="306660"/>
    <xdr:sp macro="" textlink="">
      <xdr:nvSpPr>
        <xdr:cNvPr id="78" name="AutoShape 22" descr="add">
          <a:extLst>
            <a:ext uri="{FF2B5EF4-FFF2-40B4-BE49-F238E27FC236}">
              <a16:creationId xmlns:a16="http://schemas.microsoft.com/office/drawing/2014/main" id="{9223BE05-836D-4199-9C81-A8CD70A0727A}"/>
            </a:ext>
          </a:extLst>
        </xdr:cNvPr>
        <xdr:cNvSpPr>
          <a:spLocks noChangeAspect="1" noChangeArrowheads="1"/>
        </xdr:cNvSpPr>
      </xdr:nvSpPr>
      <xdr:spPr bwMode="auto">
        <a:xfrm>
          <a:off x="121920" y="1356360"/>
          <a:ext cx="304800" cy="3066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xdr:row>
      <xdr:rowOff>0</xdr:rowOff>
    </xdr:from>
    <xdr:ext cx="304800" cy="306660"/>
    <xdr:sp macro="" textlink="">
      <xdr:nvSpPr>
        <xdr:cNvPr id="79" name="AutoShape 18" descr="add">
          <a:extLst>
            <a:ext uri="{FF2B5EF4-FFF2-40B4-BE49-F238E27FC236}">
              <a16:creationId xmlns:a16="http://schemas.microsoft.com/office/drawing/2014/main" id="{BB03F70D-7257-4204-B32E-23208D4800BA}"/>
            </a:ext>
          </a:extLst>
        </xdr:cNvPr>
        <xdr:cNvSpPr>
          <a:spLocks noChangeAspect="1" noChangeArrowheads="1"/>
        </xdr:cNvSpPr>
      </xdr:nvSpPr>
      <xdr:spPr bwMode="auto">
        <a:xfrm>
          <a:off x="121920" y="1356360"/>
          <a:ext cx="304800" cy="3066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xdr:row>
      <xdr:rowOff>0</xdr:rowOff>
    </xdr:from>
    <xdr:ext cx="304800" cy="306661"/>
    <xdr:sp macro="" textlink="">
      <xdr:nvSpPr>
        <xdr:cNvPr id="80" name="AutoShape 19" descr="add">
          <a:extLst>
            <a:ext uri="{FF2B5EF4-FFF2-40B4-BE49-F238E27FC236}">
              <a16:creationId xmlns:a16="http://schemas.microsoft.com/office/drawing/2014/main" id="{BBB3772A-E3F6-4925-B031-09F05630F0C2}"/>
            </a:ext>
          </a:extLst>
        </xdr:cNvPr>
        <xdr:cNvSpPr>
          <a:spLocks noChangeAspect="1" noChangeArrowheads="1"/>
        </xdr:cNvSpPr>
      </xdr:nvSpPr>
      <xdr:spPr bwMode="auto">
        <a:xfrm>
          <a:off x="121920" y="1356360"/>
          <a:ext cx="304800" cy="30666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xdr:row>
      <xdr:rowOff>0</xdr:rowOff>
    </xdr:from>
    <xdr:ext cx="304800" cy="306660"/>
    <xdr:sp macro="" textlink="">
      <xdr:nvSpPr>
        <xdr:cNvPr id="81" name="AutoShape 20" descr="add">
          <a:extLst>
            <a:ext uri="{FF2B5EF4-FFF2-40B4-BE49-F238E27FC236}">
              <a16:creationId xmlns:a16="http://schemas.microsoft.com/office/drawing/2014/main" id="{05E37A88-DA0F-425E-AFCC-D348C3156B90}"/>
            </a:ext>
          </a:extLst>
        </xdr:cNvPr>
        <xdr:cNvSpPr>
          <a:spLocks noChangeAspect="1" noChangeArrowheads="1"/>
        </xdr:cNvSpPr>
      </xdr:nvSpPr>
      <xdr:spPr bwMode="auto">
        <a:xfrm>
          <a:off x="121920" y="1356360"/>
          <a:ext cx="304800" cy="3066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xdr:row>
      <xdr:rowOff>0</xdr:rowOff>
    </xdr:from>
    <xdr:ext cx="304800" cy="306660"/>
    <xdr:sp macro="" textlink="">
      <xdr:nvSpPr>
        <xdr:cNvPr id="82" name="AutoShape 21" descr="add">
          <a:extLst>
            <a:ext uri="{FF2B5EF4-FFF2-40B4-BE49-F238E27FC236}">
              <a16:creationId xmlns:a16="http://schemas.microsoft.com/office/drawing/2014/main" id="{198EEAAA-CF20-42BD-9FAA-7226A6569143}"/>
            </a:ext>
          </a:extLst>
        </xdr:cNvPr>
        <xdr:cNvSpPr>
          <a:spLocks noChangeAspect="1" noChangeArrowheads="1"/>
        </xdr:cNvSpPr>
      </xdr:nvSpPr>
      <xdr:spPr bwMode="auto">
        <a:xfrm>
          <a:off x="121920" y="1356360"/>
          <a:ext cx="304800" cy="3066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xdr:row>
      <xdr:rowOff>0</xdr:rowOff>
    </xdr:from>
    <xdr:ext cx="304800" cy="306660"/>
    <xdr:sp macro="" textlink="">
      <xdr:nvSpPr>
        <xdr:cNvPr id="83" name="AutoShape 22" descr="add">
          <a:extLst>
            <a:ext uri="{FF2B5EF4-FFF2-40B4-BE49-F238E27FC236}">
              <a16:creationId xmlns:a16="http://schemas.microsoft.com/office/drawing/2014/main" id="{B0B90743-727F-474B-9B3E-9B3D25A88288}"/>
            </a:ext>
          </a:extLst>
        </xdr:cNvPr>
        <xdr:cNvSpPr>
          <a:spLocks noChangeAspect="1" noChangeArrowheads="1"/>
        </xdr:cNvSpPr>
      </xdr:nvSpPr>
      <xdr:spPr bwMode="auto">
        <a:xfrm>
          <a:off x="121920" y="1356360"/>
          <a:ext cx="304800" cy="3066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xdr:row>
      <xdr:rowOff>0</xdr:rowOff>
    </xdr:from>
    <xdr:ext cx="304800" cy="306660"/>
    <xdr:sp macro="" textlink="">
      <xdr:nvSpPr>
        <xdr:cNvPr id="84" name="AutoShape 17" descr="add">
          <a:extLst>
            <a:ext uri="{FF2B5EF4-FFF2-40B4-BE49-F238E27FC236}">
              <a16:creationId xmlns:a16="http://schemas.microsoft.com/office/drawing/2014/main" id="{508B45AE-DD1E-4AA4-877E-39A5D62F01BF}"/>
            </a:ext>
          </a:extLst>
        </xdr:cNvPr>
        <xdr:cNvSpPr>
          <a:spLocks noChangeAspect="1" noChangeArrowheads="1"/>
        </xdr:cNvSpPr>
      </xdr:nvSpPr>
      <xdr:spPr bwMode="auto">
        <a:xfrm>
          <a:off x="121920" y="1356360"/>
          <a:ext cx="304800" cy="3066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1</xdr:col>
      <xdr:colOff>0</xdr:colOff>
      <xdr:row>4</xdr:row>
      <xdr:rowOff>0</xdr:rowOff>
    </xdr:from>
    <xdr:to>
      <xdr:col>1</xdr:col>
      <xdr:colOff>304800</xdr:colOff>
      <xdr:row>5</xdr:row>
      <xdr:rowOff>111125</xdr:rowOff>
    </xdr:to>
    <xdr:sp macro="" textlink="">
      <xdr:nvSpPr>
        <xdr:cNvPr id="85" name="AutoShape 23" descr="add">
          <a:extLst>
            <a:ext uri="{FF2B5EF4-FFF2-40B4-BE49-F238E27FC236}">
              <a16:creationId xmlns:a16="http://schemas.microsoft.com/office/drawing/2014/main" id="{2AF84350-498C-4A21-9040-C16A54D7581F}"/>
            </a:ext>
          </a:extLst>
        </xdr:cNvPr>
        <xdr:cNvSpPr>
          <a:spLocks noChangeAspect="1" noChangeArrowheads="1"/>
        </xdr:cNvSpPr>
      </xdr:nvSpPr>
      <xdr:spPr bwMode="auto">
        <a:xfrm>
          <a:off x="121920" y="1356360"/>
          <a:ext cx="304800" cy="30353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xdr:row>
      <xdr:rowOff>0</xdr:rowOff>
    </xdr:from>
    <xdr:to>
      <xdr:col>1</xdr:col>
      <xdr:colOff>304800</xdr:colOff>
      <xdr:row>5</xdr:row>
      <xdr:rowOff>111126</xdr:rowOff>
    </xdr:to>
    <xdr:sp macro="" textlink="">
      <xdr:nvSpPr>
        <xdr:cNvPr id="86" name="AutoShape 24" descr="add">
          <a:extLst>
            <a:ext uri="{FF2B5EF4-FFF2-40B4-BE49-F238E27FC236}">
              <a16:creationId xmlns:a16="http://schemas.microsoft.com/office/drawing/2014/main" id="{3D3ACB17-4D20-454A-BAF1-2C8111EC07DA}"/>
            </a:ext>
          </a:extLst>
        </xdr:cNvPr>
        <xdr:cNvSpPr>
          <a:spLocks noChangeAspect="1" noChangeArrowheads="1"/>
        </xdr:cNvSpPr>
      </xdr:nvSpPr>
      <xdr:spPr bwMode="auto">
        <a:xfrm>
          <a:off x="121920" y="1356360"/>
          <a:ext cx="304800" cy="30353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xdr:row>
      <xdr:rowOff>0</xdr:rowOff>
    </xdr:from>
    <xdr:to>
      <xdr:col>1</xdr:col>
      <xdr:colOff>304800</xdr:colOff>
      <xdr:row>5</xdr:row>
      <xdr:rowOff>111125</xdr:rowOff>
    </xdr:to>
    <xdr:sp macro="" textlink="">
      <xdr:nvSpPr>
        <xdr:cNvPr id="87" name="AutoShape 25" descr="add">
          <a:extLst>
            <a:ext uri="{FF2B5EF4-FFF2-40B4-BE49-F238E27FC236}">
              <a16:creationId xmlns:a16="http://schemas.microsoft.com/office/drawing/2014/main" id="{384C9426-5B0F-4693-8B10-6B6507FED931}"/>
            </a:ext>
          </a:extLst>
        </xdr:cNvPr>
        <xdr:cNvSpPr>
          <a:spLocks noChangeAspect="1" noChangeArrowheads="1"/>
        </xdr:cNvSpPr>
      </xdr:nvSpPr>
      <xdr:spPr bwMode="auto">
        <a:xfrm>
          <a:off x="121920" y="1356360"/>
          <a:ext cx="304800" cy="30353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xdr:row>
      <xdr:rowOff>0</xdr:rowOff>
    </xdr:from>
    <xdr:to>
      <xdr:col>1</xdr:col>
      <xdr:colOff>304800</xdr:colOff>
      <xdr:row>5</xdr:row>
      <xdr:rowOff>111124</xdr:rowOff>
    </xdr:to>
    <xdr:sp macro="" textlink="">
      <xdr:nvSpPr>
        <xdr:cNvPr id="88" name="AutoShape 26" descr="add">
          <a:extLst>
            <a:ext uri="{FF2B5EF4-FFF2-40B4-BE49-F238E27FC236}">
              <a16:creationId xmlns:a16="http://schemas.microsoft.com/office/drawing/2014/main" id="{7A96132B-F804-4CDC-8C0D-096040A0B700}"/>
            </a:ext>
          </a:extLst>
        </xdr:cNvPr>
        <xdr:cNvSpPr>
          <a:spLocks noChangeAspect="1" noChangeArrowheads="1"/>
        </xdr:cNvSpPr>
      </xdr:nvSpPr>
      <xdr:spPr bwMode="auto">
        <a:xfrm>
          <a:off x="121920" y="1356360"/>
          <a:ext cx="304800" cy="30352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xdr:row>
      <xdr:rowOff>0</xdr:rowOff>
    </xdr:from>
    <xdr:to>
      <xdr:col>1</xdr:col>
      <xdr:colOff>304800</xdr:colOff>
      <xdr:row>5</xdr:row>
      <xdr:rowOff>111123</xdr:rowOff>
    </xdr:to>
    <xdr:sp macro="" textlink="">
      <xdr:nvSpPr>
        <xdr:cNvPr id="89" name="AutoShape 27" descr="add">
          <a:extLst>
            <a:ext uri="{FF2B5EF4-FFF2-40B4-BE49-F238E27FC236}">
              <a16:creationId xmlns:a16="http://schemas.microsoft.com/office/drawing/2014/main" id="{DF88EBE7-DAEB-4E51-BF79-B17733F480C4}"/>
            </a:ext>
          </a:extLst>
        </xdr:cNvPr>
        <xdr:cNvSpPr>
          <a:spLocks noChangeAspect="1" noChangeArrowheads="1"/>
        </xdr:cNvSpPr>
      </xdr:nvSpPr>
      <xdr:spPr bwMode="auto">
        <a:xfrm>
          <a:off x="121920" y="1356360"/>
          <a:ext cx="304800" cy="303528"/>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xdr:row>
      <xdr:rowOff>0</xdr:rowOff>
    </xdr:from>
    <xdr:to>
      <xdr:col>1</xdr:col>
      <xdr:colOff>304800</xdr:colOff>
      <xdr:row>5</xdr:row>
      <xdr:rowOff>111125</xdr:rowOff>
    </xdr:to>
    <xdr:sp macro="" textlink="">
      <xdr:nvSpPr>
        <xdr:cNvPr id="90" name="AutoShape 28" descr="add">
          <a:extLst>
            <a:ext uri="{FF2B5EF4-FFF2-40B4-BE49-F238E27FC236}">
              <a16:creationId xmlns:a16="http://schemas.microsoft.com/office/drawing/2014/main" id="{5509163C-9915-4FB3-B94F-446F002D60AC}"/>
            </a:ext>
          </a:extLst>
        </xdr:cNvPr>
        <xdr:cNvSpPr>
          <a:spLocks noChangeAspect="1" noChangeArrowheads="1"/>
        </xdr:cNvSpPr>
      </xdr:nvSpPr>
      <xdr:spPr bwMode="auto">
        <a:xfrm>
          <a:off x="121920" y="1356360"/>
          <a:ext cx="304800" cy="30353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1</xdr:col>
      <xdr:colOff>0</xdr:colOff>
      <xdr:row>4</xdr:row>
      <xdr:rowOff>0</xdr:rowOff>
    </xdr:from>
    <xdr:ext cx="304800" cy="303949"/>
    <xdr:sp macro="" textlink="">
      <xdr:nvSpPr>
        <xdr:cNvPr id="91" name="AutoShape 27" descr="add">
          <a:extLst>
            <a:ext uri="{FF2B5EF4-FFF2-40B4-BE49-F238E27FC236}">
              <a16:creationId xmlns:a16="http://schemas.microsoft.com/office/drawing/2014/main" id="{723AA631-F2FC-473F-9B5F-1930B971273A}"/>
            </a:ext>
          </a:extLst>
        </xdr:cNvPr>
        <xdr:cNvSpPr>
          <a:spLocks noChangeAspect="1" noChangeArrowheads="1"/>
        </xdr:cNvSpPr>
      </xdr:nvSpPr>
      <xdr:spPr bwMode="auto">
        <a:xfrm>
          <a:off x="121920" y="1356360"/>
          <a:ext cx="304800" cy="30394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xdr:row>
      <xdr:rowOff>0</xdr:rowOff>
    </xdr:from>
    <xdr:ext cx="304800" cy="303949"/>
    <xdr:sp macro="" textlink="">
      <xdr:nvSpPr>
        <xdr:cNvPr id="92" name="AutoShape 28" descr="add">
          <a:extLst>
            <a:ext uri="{FF2B5EF4-FFF2-40B4-BE49-F238E27FC236}">
              <a16:creationId xmlns:a16="http://schemas.microsoft.com/office/drawing/2014/main" id="{2C4FD878-7343-4FB0-AD2A-96472D3AC1CB}"/>
            </a:ext>
          </a:extLst>
        </xdr:cNvPr>
        <xdr:cNvSpPr>
          <a:spLocks noChangeAspect="1" noChangeArrowheads="1"/>
        </xdr:cNvSpPr>
      </xdr:nvSpPr>
      <xdr:spPr bwMode="auto">
        <a:xfrm>
          <a:off x="121920" y="1356360"/>
          <a:ext cx="304800" cy="30394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xdr:row>
      <xdr:rowOff>0</xdr:rowOff>
    </xdr:from>
    <xdr:ext cx="304800" cy="308263"/>
    <xdr:sp macro="" textlink="">
      <xdr:nvSpPr>
        <xdr:cNvPr id="93" name="AutoShape 16" descr="add">
          <a:extLst>
            <a:ext uri="{FF2B5EF4-FFF2-40B4-BE49-F238E27FC236}">
              <a16:creationId xmlns:a16="http://schemas.microsoft.com/office/drawing/2014/main" id="{361E6FC1-1142-460D-8D0D-06FB5CFAA8A0}"/>
            </a:ext>
          </a:extLst>
        </xdr:cNvPr>
        <xdr:cNvSpPr>
          <a:spLocks noChangeAspect="1" noChangeArrowheads="1"/>
        </xdr:cNvSpPr>
      </xdr:nvSpPr>
      <xdr:spPr bwMode="auto">
        <a:xfrm>
          <a:off x="121920" y="1356360"/>
          <a:ext cx="304800" cy="30826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xdr:row>
      <xdr:rowOff>0</xdr:rowOff>
    </xdr:from>
    <xdr:ext cx="304800" cy="308264"/>
    <xdr:sp macro="" textlink="">
      <xdr:nvSpPr>
        <xdr:cNvPr id="94" name="AutoShape 17" descr="add">
          <a:extLst>
            <a:ext uri="{FF2B5EF4-FFF2-40B4-BE49-F238E27FC236}">
              <a16:creationId xmlns:a16="http://schemas.microsoft.com/office/drawing/2014/main" id="{6B91037B-BC60-469B-B065-F937C60CDC39}"/>
            </a:ext>
          </a:extLst>
        </xdr:cNvPr>
        <xdr:cNvSpPr>
          <a:spLocks noChangeAspect="1" noChangeArrowheads="1"/>
        </xdr:cNvSpPr>
      </xdr:nvSpPr>
      <xdr:spPr bwMode="auto">
        <a:xfrm>
          <a:off x="121920" y="1356360"/>
          <a:ext cx="304800" cy="30826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xdr:row>
      <xdr:rowOff>0</xdr:rowOff>
    </xdr:from>
    <xdr:ext cx="304800" cy="306660"/>
    <xdr:sp macro="" textlink="">
      <xdr:nvSpPr>
        <xdr:cNvPr id="95" name="AutoShape 16" descr="add">
          <a:extLst>
            <a:ext uri="{FF2B5EF4-FFF2-40B4-BE49-F238E27FC236}">
              <a16:creationId xmlns:a16="http://schemas.microsoft.com/office/drawing/2014/main" id="{422F2DA3-867C-4770-8166-A172842888CB}"/>
            </a:ext>
          </a:extLst>
        </xdr:cNvPr>
        <xdr:cNvSpPr>
          <a:spLocks noChangeAspect="1" noChangeArrowheads="1"/>
        </xdr:cNvSpPr>
      </xdr:nvSpPr>
      <xdr:spPr bwMode="auto">
        <a:xfrm>
          <a:off x="121920" y="1356360"/>
          <a:ext cx="304800" cy="3066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xdr:row>
      <xdr:rowOff>0</xdr:rowOff>
    </xdr:from>
    <xdr:ext cx="304800" cy="306660"/>
    <xdr:sp macro="" textlink="">
      <xdr:nvSpPr>
        <xdr:cNvPr id="96" name="AutoShape 17" descr="add">
          <a:extLst>
            <a:ext uri="{FF2B5EF4-FFF2-40B4-BE49-F238E27FC236}">
              <a16:creationId xmlns:a16="http://schemas.microsoft.com/office/drawing/2014/main" id="{28315E86-0E7C-47AD-BD2C-A1A4ADC96145}"/>
            </a:ext>
          </a:extLst>
        </xdr:cNvPr>
        <xdr:cNvSpPr>
          <a:spLocks noChangeAspect="1" noChangeArrowheads="1"/>
        </xdr:cNvSpPr>
      </xdr:nvSpPr>
      <xdr:spPr bwMode="auto">
        <a:xfrm>
          <a:off x="121920" y="1356360"/>
          <a:ext cx="304800" cy="3066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xdr:row>
      <xdr:rowOff>0</xdr:rowOff>
    </xdr:from>
    <xdr:ext cx="304800" cy="308264"/>
    <xdr:sp macro="" textlink="">
      <xdr:nvSpPr>
        <xdr:cNvPr id="97" name="AutoShape 18" descr="add">
          <a:extLst>
            <a:ext uri="{FF2B5EF4-FFF2-40B4-BE49-F238E27FC236}">
              <a16:creationId xmlns:a16="http://schemas.microsoft.com/office/drawing/2014/main" id="{5B1CB698-FABE-4C64-8E3D-E6AB4EC6DC86}"/>
            </a:ext>
          </a:extLst>
        </xdr:cNvPr>
        <xdr:cNvSpPr>
          <a:spLocks noChangeAspect="1" noChangeArrowheads="1"/>
        </xdr:cNvSpPr>
      </xdr:nvSpPr>
      <xdr:spPr bwMode="auto">
        <a:xfrm>
          <a:off x="121920" y="1356360"/>
          <a:ext cx="304800" cy="30826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xdr:row>
      <xdr:rowOff>0</xdr:rowOff>
    </xdr:from>
    <xdr:ext cx="304800" cy="308263"/>
    <xdr:sp macro="" textlink="">
      <xdr:nvSpPr>
        <xdr:cNvPr id="98" name="AutoShape 19" descr="add">
          <a:extLst>
            <a:ext uri="{FF2B5EF4-FFF2-40B4-BE49-F238E27FC236}">
              <a16:creationId xmlns:a16="http://schemas.microsoft.com/office/drawing/2014/main" id="{DE60A25A-3DED-4636-96AC-B569432C9979}"/>
            </a:ext>
          </a:extLst>
        </xdr:cNvPr>
        <xdr:cNvSpPr>
          <a:spLocks noChangeAspect="1" noChangeArrowheads="1"/>
        </xdr:cNvSpPr>
      </xdr:nvSpPr>
      <xdr:spPr bwMode="auto">
        <a:xfrm>
          <a:off x="121920" y="1356360"/>
          <a:ext cx="304800" cy="30826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xdr:row>
      <xdr:rowOff>0</xdr:rowOff>
    </xdr:from>
    <xdr:ext cx="304800" cy="308264"/>
    <xdr:sp macro="" textlink="">
      <xdr:nvSpPr>
        <xdr:cNvPr id="99" name="AutoShape 20" descr="add">
          <a:extLst>
            <a:ext uri="{FF2B5EF4-FFF2-40B4-BE49-F238E27FC236}">
              <a16:creationId xmlns:a16="http://schemas.microsoft.com/office/drawing/2014/main" id="{17A172D7-ECFC-4AA6-838D-3ADA032EB05F}"/>
            </a:ext>
          </a:extLst>
        </xdr:cNvPr>
        <xdr:cNvSpPr>
          <a:spLocks noChangeAspect="1" noChangeArrowheads="1"/>
        </xdr:cNvSpPr>
      </xdr:nvSpPr>
      <xdr:spPr bwMode="auto">
        <a:xfrm>
          <a:off x="121920" y="1356360"/>
          <a:ext cx="304800" cy="30826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xdr:row>
      <xdr:rowOff>0</xdr:rowOff>
    </xdr:from>
    <xdr:ext cx="304800" cy="308264"/>
    <xdr:sp macro="" textlink="">
      <xdr:nvSpPr>
        <xdr:cNvPr id="100" name="AutoShape 21" descr="add">
          <a:extLst>
            <a:ext uri="{FF2B5EF4-FFF2-40B4-BE49-F238E27FC236}">
              <a16:creationId xmlns:a16="http://schemas.microsoft.com/office/drawing/2014/main" id="{C3832B29-9AF7-4B39-BB2A-F5FE8F94D337}"/>
            </a:ext>
          </a:extLst>
        </xdr:cNvPr>
        <xdr:cNvSpPr>
          <a:spLocks noChangeAspect="1" noChangeArrowheads="1"/>
        </xdr:cNvSpPr>
      </xdr:nvSpPr>
      <xdr:spPr bwMode="auto">
        <a:xfrm>
          <a:off x="121920" y="1356360"/>
          <a:ext cx="304800" cy="30826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xdr:row>
      <xdr:rowOff>0</xdr:rowOff>
    </xdr:from>
    <xdr:ext cx="304800" cy="308263"/>
    <xdr:sp macro="" textlink="">
      <xdr:nvSpPr>
        <xdr:cNvPr id="101" name="AutoShape 22" descr="add">
          <a:extLst>
            <a:ext uri="{FF2B5EF4-FFF2-40B4-BE49-F238E27FC236}">
              <a16:creationId xmlns:a16="http://schemas.microsoft.com/office/drawing/2014/main" id="{8F885918-26B4-4A9E-95EB-656F2BAB0DBA}"/>
            </a:ext>
          </a:extLst>
        </xdr:cNvPr>
        <xdr:cNvSpPr>
          <a:spLocks noChangeAspect="1" noChangeArrowheads="1"/>
        </xdr:cNvSpPr>
      </xdr:nvSpPr>
      <xdr:spPr bwMode="auto">
        <a:xfrm>
          <a:off x="121920" y="1356360"/>
          <a:ext cx="304800" cy="30826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xdr:row>
      <xdr:rowOff>0</xdr:rowOff>
    </xdr:from>
    <xdr:ext cx="304800" cy="306660"/>
    <xdr:sp macro="" textlink="">
      <xdr:nvSpPr>
        <xdr:cNvPr id="102" name="AutoShape 18" descr="add">
          <a:extLst>
            <a:ext uri="{FF2B5EF4-FFF2-40B4-BE49-F238E27FC236}">
              <a16:creationId xmlns:a16="http://schemas.microsoft.com/office/drawing/2014/main" id="{1D7D3481-1E54-4DBF-A656-79B6000EA253}"/>
            </a:ext>
          </a:extLst>
        </xdr:cNvPr>
        <xdr:cNvSpPr>
          <a:spLocks noChangeAspect="1" noChangeArrowheads="1"/>
        </xdr:cNvSpPr>
      </xdr:nvSpPr>
      <xdr:spPr bwMode="auto">
        <a:xfrm>
          <a:off x="121920" y="1356360"/>
          <a:ext cx="304800" cy="3066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xdr:row>
      <xdr:rowOff>0</xdr:rowOff>
    </xdr:from>
    <xdr:ext cx="304800" cy="306661"/>
    <xdr:sp macro="" textlink="">
      <xdr:nvSpPr>
        <xdr:cNvPr id="103" name="AutoShape 19" descr="add">
          <a:extLst>
            <a:ext uri="{FF2B5EF4-FFF2-40B4-BE49-F238E27FC236}">
              <a16:creationId xmlns:a16="http://schemas.microsoft.com/office/drawing/2014/main" id="{D3098E8A-9A68-46BD-A8E0-5B002B5220F0}"/>
            </a:ext>
          </a:extLst>
        </xdr:cNvPr>
        <xdr:cNvSpPr>
          <a:spLocks noChangeAspect="1" noChangeArrowheads="1"/>
        </xdr:cNvSpPr>
      </xdr:nvSpPr>
      <xdr:spPr bwMode="auto">
        <a:xfrm>
          <a:off x="121920" y="1356360"/>
          <a:ext cx="304800" cy="30666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xdr:row>
      <xdr:rowOff>0</xdr:rowOff>
    </xdr:from>
    <xdr:ext cx="304800" cy="306660"/>
    <xdr:sp macro="" textlink="">
      <xdr:nvSpPr>
        <xdr:cNvPr id="104" name="AutoShape 20" descr="add">
          <a:extLst>
            <a:ext uri="{FF2B5EF4-FFF2-40B4-BE49-F238E27FC236}">
              <a16:creationId xmlns:a16="http://schemas.microsoft.com/office/drawing/2014/main" id="{65ADBA20-168A-4BF1-8FFA-4F3BF446E256}"/>
            </a:ext>
          </a:extLst>
        </xdr:cNvPr>
        <xdr:cNvSpPr>
          <a:spLocks noChangeAspect="1" noChangeArrowheads="1"/>
        </xdr:cNvSpPr>
      </xdr:nvSpPr>
      <xdr:spPr bwMode="auto">
        <a:xfrm>
          <a:off x="121920" y="1356360"/>
          <a:ext cx="304800" cy="3066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xdr:row>
      <xdr:rowOff>0</xdr:rowOff>
    </xdr:from>
    <xdr:ext cx="304800" cy="306660"/>
    <xdr:sp macro="" textlink="">
      <xdr:nvSpPr>
        <xdr:cNvPr id="105" name="AutoShape 21" descr="add">
          <a:extLst>
            <a:ext uri="{FF2B5EF4-FFF2-40B4-BE49-F238E27FC236}">
              <a16:creationId xmlns:a16="http://schemas.microsoft.com/office/drawing/2014/main" id="{1CEA1227-23BF-4563-A929-2959EDF625FE}"/>
            </a:ext>
          </a:extLst>
        </xdr:cNvPr>
        <xdr:cNvSpPr>
          <a:spLocks noChangeAspect="1" noChangeArrowheads="1"/>
        </xdr:cNvSpPr>
      </xdr:nvSpPr>
      <xdr:spPr bwMode="auto">
        <a:xfrm>
          <a:off x="121920" y="1356360"/>
          <a:ext cx="304800" cy="3066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xdr:row>
      <xdr:rowOff>0</xdr:rowOff>
    </xdr:from>
    <xdr:ext cx="304800" cy="306660"/>
    <xdr:sp macro="" textlink="">
      <xdr:nvSpPr>
        <xdr:cNvPr id="106" name="AutoShape 22" descr="add">
          <a:extLst>
            <a:ext uri="{FF2B5EF4-FFF2-40B4-BE49-F238E27FC236}">
              <a16:creationId xmlns:a16="http://schemas.microsoft.com/office/drawing/2014/main" id="{1FFA410E-9C41-4141-8B66-822ACFC79C30}"/>
            </a:ext>
          </a:extLst>
        </xdr:cNvPr>
        <xdr:cNvSpPr>
          <a:spLocks noChangeAspect="1" noChangeArrowheads="1"/>
        </xdr:cNvSpPr>
      </xdr:nvSpPr>
      <xdr:spPr bwMode="auto">
        <a:xfrm>
          <a:off x="121920" y="1356360"/>
          <a:ext cx="304800" cy="3066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xdr:row>
      <xdr:rowOff>0</xdr:rowOff>
    </xdr:from>
    <xdr:ext cx="304800" cy="306660"/>
    <xdr:sp macro="" textlink="">
      <xdr:nvSpPr>
        <xdr:cNvPr id="107" name="AutoShape 18" descr="add">
          <a:extLst>
            <a:ext uri="{FF2B5EF4-FFF2-40B4-BE49-F238E27FC236}">
              <a16:creationId xmlns:a16="http://schemas.microsoft.com/office/drawing/2014/main" id="{B8617FB0-5389-4EAB-9B71-C4C4597BDC40}"/>
            </a:ext>
          </a:extLst>
        </xdr:cNvPr>
        <xdr:cNvSpPr>
          <a:spLocks noChangeAspect="1" noChangeArrowheads="1"/>
        </xdr:cNvSpPr>
      </xdr:nvSpPr>
      <xdr:spPr bwMode="auto">
        <a:xfrm>
          <a:off x="121920" y="1356360"/>
          <a:ext cx="304800" cy="3066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xdr:row>
      <xdr:rowOff>0</xdr:rowOff>
    </xdr:from>
    <xdr:ext cx="304800" cy="306661"/>
    <xdr:sp macro="" textlink="">
      <xdr:nvSpPr>
        <xdr:cNvPr id="108" name="AutoShape 19" descr="add">
          <a:extLst>
            <a:ext uri="{FF2B5EF4-FFF2-40B4-BE49-F238E27FC236}">
              <a16:creationId xmlns:a16="http://schemas.microsoft.com/office/drawing/2014/main" id="{3B61A0EB-3344-4092-A8F5-78F81815D4BB}"/>
            </a:ext>
          </a:extLst>
        </xdr:cNvPr>
        <xdr:cNvSpPr>
          <a:spLocks noChangeAspect="1" noChangeArrowheads="1"/>
        </xdr:cNvSpPr>
      </xdr:nvSpPr>
      <xdr:spPr bwMode="auto">
        <a:xfrm>
          <a:off x="121920" y="1356360"/>
          <a:ext cx="304800" cy="30666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xdr:row>
      <xdr:rowOff>0</xdr:rowOff>
    </xdr:from>
    <xdr:ext cx="304800" cy="306660"/>
    <xdr:sp macro="" textlink="">
      <xdr:nvSpPr>
        <xdr:cNvPr id="109" name="AutoShape 20" descr="add">
          <a:extLst>
            <a:ext uri="{FF2B5EF4-FFF2-40B4-BE49-F238E27FC236}">
              <a16:creationId xmlns:a16="http://schemas.microsoft.com/office/drawing/2014/main" id="{EC34702F-B769-419B-B7DB-DCB8FF19F0AE}"/>
            </a:ext>
          </a:extLst>
        </xdr:cNvPr>
        <xdr:cNvSpPr>
          <a:spLocks noChangeAspect="1" noChangeArrowheads="1"/>
        </xdr:cNvSpPr>
      </xdr:nvSpPr>
      <xdr:spPr bwMode="auto">
        <a:xfrm>
          <a:off x="121920" y="1356360"/>
          <a:ext cx="304800" cy="3066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xdr:row>
      <xdr:rowOff>0</xdr:rowOff>
    </xdr:from>
    <xdr:ext cx="304800" cy="306660"/>
    <xdr:sp macro="" textlink="">
      <xdr:nvSpPr>
        <xdr:cNvPr id="110" name="AutoShape 21" descr="add">
          <a:extLst>
            <a:ext uri="{FF2B5EF4-FFF2-40B4-BE49-F238E27FC236}">
              <a16:creationId xmlns:a16="http://schemas.microsoft.com/office/drawing/2014/main" id="{AC221C4D-7F3C-45B4-A2E7-F4978F37E0B5}"/>
            </a:ext>
          </a:extLst>
        </xdr:cNvPr>
        <xdr:cNvSpPr>
          <a:spLocks noChangeAspect="1" noChangeArrowheads="1"/>
        </xdr:cNvSpPr>
      </xdr:nvSpPr>
      <xdr:spPr bwMode="auto">
        <a:xfrm>
          <a:off x="121920" y="1356360"/>
          <a:ext cx="304800" cy="3066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xdr:row>
      <xdr:rowOff>0</xdr:rowOff>
    </xdr:from>
    <xdr:ext cx="304800" cy="306660"/>
    <xdr:sp macro="" textlink="">
      <xdr:nvSpPr>
        <xdr:cNvPr id="111" name="AutoShape 22" descr="add">
          <a:extLst>
            <a:ext uri="{FF2B5EF4-FFF2-40B4-BE49-F238E27FC236}">
              <a16:creationId xmlns:a16="http://schemas.microsoft.com/office/drawing/2014/main" id="{5D10195D-3118-4939-B567-085A501D079D}"/>
            </a:ext>
          </a:extLst>
        </xdr:cNvPr>
        <xdr:cNvSpPr>
          <a:spLocks noChangeAspect="1" noChangeArrowheads="1"/>
        </xdr:cNvSpPr>
      </xdr:nvSpPr>
      <xdr:spPr bwMode="auto">
        <a:xfrm>
          <a:off x="121920" y="1356360"/>
          <a:ext cx="304800" cy="3066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xdr:row>
      <xdr:rowOff>0</xdr:rowOff>
    </xdr:from>
    <xdr:ext cx="304800" cy="306660"/>
    <xdr:sp macro="" textlink="">
      <xdr:nvSpPr>
        <xdr:cNvPr id="112" name="AutoShape 18" descr="add">
          <a:extLst>
            <a:ext uri="{FF2B5EF4-FFF2-40B4-BE49-F238E27FC236}">
              <a16:creationId xmlns:a16="http://schemas.microsoft.com/office/drawing/2014/main" id="{6D1FD972-D485-4DD8-AD86-5F9C1626A7BE}"/>
            </a:ext>
          </a:extLst>
        </xdr:cNvPr>
        <xdr:cNvSpPr>
          <a:spLocks noChangeAspect="1" noChangeArrowheads="1"/>
        </xdr:cNvSpPr>
      </xdr:nvSpPr>
      <xdr:spPr bwMode="auto">
        <a:xfrm>
          <a:off x="121920" y="1356360"/>
          <a:ext cx="304800" cy="3066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xdr:row>
      <xdr:rowOff>0</xdr:rowOff>
    </xdr:from>
    <xdr:ext cx="304800" cy="306661"/>
    <xdr:sp macro="" textlink="">
      <xdr:nvSpPr>
        <xdr:cNvPr id="113" name="AutoShape 19" descr="add">
          <a:extLst>
            <a:ext uri="{FF2B5EF4-FFF2-40B4-BE49-F238E27FC236}">
              <a16:creationId xmlns:a16="http://schemas.microsoft.com/office/drawing/2014/main" id="{D98E3258-999C-4C9E-8976-E35AF8FD1ED9}"/>
            </a:ext>
          </a:extLst>
        </xdr:cNvPr>
        <xdr:cNvSpPr>
          <a:spLocks noChangeAspect="1" noChangeArrowheads="1"/>
        </xdr:cNvSpPr>
      </xdr:nvSpPr>
      <xdr:spPr bwMode="auto">
        <a:xfrm>
          <a:off x="121920" y="1356360"/>
          <a:ext cx="304800" cy="30666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xdr:row>
      <xdr:rowOff>0</xdr:rowOff>
    </xdr:from>
    <xdr:ext cx="304800" cy="306660"/>
    <xdr:sp macro="" textlink="">
      <xdr:nvSpPr>
        <xdr:cNvPr id="114" name="AutoShape 20" descr="add">
          <a:extLst>
            <a:ext uri="{FF2B5EF4-FFF2-40B4-BE49-F238E27FC236}">
              <a16:creationId xmlns:a16="http://schemas.microsoft.com/office/drawing/2014/main" id="{7FC434D6-FD46-47CA-B491-DFDF285A3C22}"/>
            </a:ext>
          </a:extLst>
        </xdr:cNvPr>
        <xdr:cNvSpPr>
          <a:spLocks noChangeAspect="1" noChangeArrowheads="1"/>
        </xdr:cNvSpPr>
      </xdr:nvSpPr>
      <xdr:spPr bwMode="auto">
        <a:xfrm>
          <a:off x="121920" y="1356360"/>
          <a:ext cx="304800" cy="3066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xdr:row>
      <xdr:rowOff>0</xdr:rowOff>
    </xdr:from>
    <xdr:ext cx="304800" cy="306660"/>
    <xdr:sp macro="" textlink="">
      <xdr:nvSpPr>
        <xdr:cNvPr id="115" name="AutoShape 21" descr="add">
          <a:extLst>
            <a:ext uri="{FF2B5EF4-FFF2-40B4-BE49-F238E27FC236}">
              <a16:creationId xmlns:a16="http://schemas.microsoft.com/office/drawing/2014/main" id="{F687D97F-411C-40C3-87E7-803B8E0D0155}"/>
            </a:ext>
          </a:extLst>
        </xdr:cNvPr>
        <xdr:cNvSpPr>
          <a:spLocks noChangeAspect="1" noChangeArrowheads="1"/>
        </xdr:cNvSpPr>
      </xdr:nvSpPr>
      <xdr:spPr bwMode="auto">
        <a:xfrm>
          <a:off x="121920" y="1356360"/>
          <a:ext cx="304800" cy="3066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xdr:row>
      <xdr:rowOff>0</xdr:rowOff>
    </xdr:from>
    <xdr:ext cx="304800" cy="306660"/>
    <xdr:sp macro="" textlink="">
      <xdr:nvSpPr>
        <xdr:cNvPr id="116" name="AutoShape 22" descr="add">
          <a:extLst>
            <a:ext uri="{FF2B5EF4-FFF2-40B4-BE49-F238E27FC236}">
              <a16:creationId xmlns:a16="http://schemas.microsoft.com/office/drawing/2014/main" id="{977874E4-89A8-4D6F-A984-CA6F30FF3662}"/>
            </a:ext>
          </a:extLst>
        </xdr:cNvPr>
        <xdr:cNvSpPr>
          <a:spLocks noChangeAspect="1" noChangeArrowheads="1"/>
        </xdr:cNvSpPr>
      </xdr:nvSpPr>
      <xdr:spPr bwMode="auto">
        <a:xfrm>
          <a:off x="121920" y="1356360"/>
          <a:ext cx="304800" cy="3066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xdr:row>
      <xdr:rowOff>0</xdr:rowOff>
    </xdr:from>
    <xdr:ext cx="304800" cy="306660"/>
    <xdr:sp macro="" textlink="">
      <xdr:nvSpPr>
        <xdr:cNvPr id="117" name="AutoShape 17" descr="add">
          <a:extLst>
            <a:ext uri="{FF2B5EF4-FFF2-40B4-BE49-F238E27FC236}">
              <a16:creationId xmlns:a16="http://schemas.microsoft.com/office/drawing/2014/main" id="{9AF81E25-D004-4340-86BC-988553A4B6A1}"/>
            </a:ext>
          </a:extLst>
        </xdr:cNvPr>
        <xdr:cNvSpPr>
          <a:spLocks noChangeAspect="1" noChangeArrowheads="1"/>
        </xdr:cNvSpPr>
      </xdr:nvSpPr>
      <xdr:spPr bwMode="auto">
        <a:xfrm>
          <a:off x="121920" y="1356360"/>
          <a:ext cx="304800" cy="3066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xdr:row>
      <xdr:rowOff>0</xdr:rowOff>
    </xdr:from>
    <xdr:ext cx="304800" cy="308263"/>
    <xdr:sp macro="" textlink="">
      <xdr:nvSpPr>
        <xdr:cNvPr id="118" name="AutoShape 23" descr="add">
          <a:extLst>
            <a:ext uri="{FF2B5EF4-FFF2-40B4-BE49-F238E27FC236}">
              <a16:creationId xmlns:a16="http://schemas.microsoft.com/office/drawing/2014/main" id="{5F5F7721-B466-45F9-A07A-2D559574B01B}"/>
            </a:ext>
          </a:extLst>
        </xdr:cNvPr>
        <xdr:cNvSpPr>
          <a:spLocks noChangeAspect="1" noChangeArrowheads="1"/>
        </xdr:cNvSpPr>
      </xdr:nvSpPr>
      <xdr:spPr bwMode="auto">
        <a:xfrm>
          <a:off x="121920" y="1356360"/>
          <a:ext cx="304800" cy="30826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xdr:row>
      <xdr:rowOff>0</xdr:rowOff>
    </xdr:from>
    <xdr:ext cx="304800" cy="308264"/>
    <xdr:sp macro="" textlink="">
      <xdr:nvSpPr>
        <xdr:cNvPr id="119" name="AutoShape 24" descr="add">
          <a:extLst>
            <a:ext uri="{FF2B5EF4-FFF2-40B4-BE49-F238E27FC236}">
              <a16:creationId xmlns:a16="http://schemas.microsoft.com/office/drawing/2014/main" id="{CA9241B7-ABE0-4DC5-A56A-0697E1E78A64}"/>
            </a:ext>
          </a:extLst>
        </xdr:cNvPr>
        <xdr:cNvSpPr>
          <a:spLocks noChangeAspect="1" noChangeArrowheads="1"/>
        </xdr:cNvSpPr>
      </xdr:nvSpPr>
      <xdr:spPr bwMode="auto">
        <a:xfrm>
          <a:off x="121920" y="1356360"/>
          <a:ext cx="304800" cy="30826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xdr:row>
      <xdr:rowOff>0</xdr:rowOff>
    </xdr:from>
    <xdr:ext cx="304800" cy="308264"/>
    <xdr:sp macro="" textlink="">
      <xdr:nvSpPr>
        <xdr:cNvPr id="120" name="AutoShape 25" descr="add">
          <a:extLst>
            <a:ext uri="{FF2B5EF4-FFF2-40B4-BE49-F238E27FC236}">
              <a16:creationId xmlns:a16="http://schemas.microsoft.com/office/drawing/2014/main" id="{8096F670-FB08-4CF3-BDF8-D78E3B6721EF}"/>
            </a:ext>
          </a:extLst>
        </xdr:cNvPr>
        <xdr:cNvSpPr>
          <a:spLocks noChangeAspect="1" noChangeArrowheads="1"/>
        </xdr:cNvSpPr>
      </xdr:nvSpPr>
      <xdr:spPr bwMode="auto">
        <a:xfrm>
          <a:off x="121920" y="1356360"/>
          <a:ext cx="304800" cy="30826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xdr:row>
      <xdr:rowOff>0</xdr:rowOff>
    </xdr:from>
    <xdr:ext cx="304800" cy="308264"/>
    <xdr:sp macro="" textlink="">
      <xdr:nvSpPr>
        <xdr:cNvPr id="121" name="AutoShape 26" descr="add">
          <a:extLst>
            <a:ext uri="{FF2B5EF4-FFF2-40B4-BE49-F238E27FC236}">
              <a16:creationId xmlns:a16="http://schemas.microsoft.com/office/drawing/2014/main" id="{6F8AA38C-CF81-4F04-8415-A7C01FA9F135}"/>
            </a:ext>
          </a:extLst>
        </xdr:cNvPr>
        <xdr:cNvSpPr>
          <a:spLocks noChangeAspect="1" noChangeArrowheads="1"/>
        </xdr:cNvSpPr>
      </xdr:nvSpPr>
      <xdr:spPr bwMode="auto">
        <a:xfrm>
          <a:off x="121920" y="1356360"/>
          <a:ext cx="304800" cy="30826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xdr:row>
      <xdr:rowOff>0</xdr:rowOff>
    </xdr:from>
    <xdr:ext cx="304800" cy="308263"/>
    <xdr:sp macro="" textlink="">
      <xdr:nvSpPr>
        <xdr:cNvPr id="122" name="AutoShape 27" descr="add">
          <a:extLst>
            <a:ext uri="{FF2B5EF4-FFF2-40B4-BE49-F238E27FC236}">
              <a16:creationId xmlns:a16="http://schemas.microsoft.com/office/drawing/2014/main" id="{40CA2DCF-C48D-4155-ABB8-59DA577C6303}"/>
            </a:ext>
          </a:extLst>
        </xdr:cNvPr>
        <xdr:cNvSpPr>
          <a:spLocks noChangeAspect="1" noChangeArrowheads="1"/>
        </xdr:cNvSpPr>
      </xdr:nvSpPr>
      <xdr:spPr bwMode="auto">
        <a:xfrm>
          <a:off x="121920" y="1356360"/>
          <a:ext cx="304800" cy="30826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xdr:row>
      <xdr:rowOff>0</xdr:rowOff>
    </xdr:from>
    <xdr:ext cx="304800" cy="308264"/>
    <xdr:sp macro="" textlink="">
      <xdr:nvSpPr>
        <xdr:cNvPr id="123" name="AutoShape 28" descr="add">
          <a:extLst>
            <a:ext uri="{FF2B5EF4-FFF2-40B4-BE49-F238E27FC236}">
              <a16:creationId xmlns:a16="http://schemas.microsoft.com/office/drawing/2014/main" id="{4E98516B-0475-4711-B4DF-6DCFD367F585}"/>
            </a:ext>
          </a:extLst>
        </xdr:cNvPr>
        <xdr:cNvSpPr>
          <a:spLocks noChangeAspect="1" noChangeArrowheads="1"/>
        </xdr:cNvSpPr>
      </xdr:nvSpPr>
      <xdr:spPr bwMode="auto">
        <a:xfrm>
          <a:off x="121920" y="1356360"/>
          <a:ext cx="304800" cy="30826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xdr:row>
      <xdr:rowOff>0</xdr:rowOff>
    </xdr:from>
    <xdr:ext cx="304800" cy="303949"/>
    <xdr:sp macro="" textlink="">
      <xdr:nvSpPr>
        <xdr:cNvPr id="124" name="AutoShape 27" descr="add">
          <a:extLst>
            <a:ext uri="{FF2B5EF4-FFF2-40B4-BE49-F238E27FC236}">
              <a16:creationId xmlns:a16="http://schemas.microsoft.com/office/drawing/2014/main" id="{E2607289-3D0D-4AA6-942F-92FD170C834B}"/>
            </a:ext>
          </a:extLst>
        </xdr:cNvPr>
        <xdr:cNvSpPr>
          <a:spLocks noChangeAspect="1" noChangeArrowheads="1"/>
        </xdr:cNvSpPr>
      </xdr:nvSpPr>
      <xdr:spPr bwMode="auto">
        <a:xfrm>
          <a:off x="121920" y="1356360"/>
          <a:ext cx="304800" cy="30394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xdr:row>
      <xdr:rowOff>0</xdr:rowOff>
    </xdr:from>
    <xdr:ext cx="304800" cy="303949"/>
    <xdr:sp macro="" textlink="">
      <xdr:nvSpPr>
        <xdr:cNvPr id="125" name="AutoShape 28" descr="add">
          <a:extLst>
            <a:ext uri="{FF2B5EF4-FFF2-40B4-BE49-F238E27FC236}">
              <a16:creationId xmlns:a16="http://schemas.microsoft.com/office/drawing/2014/main" id="{73C393E7-9156-4D44-A915-F5646B45EC5B}"/>
            </a:ext>
          </a:extLst>
        </xdr:cNvPr>
        <xdr:cNvSpPr>
          <a:spLocks noChangeAspect="1" noChangeArrowheads="1"/>
        </xdr:cNvSpPr>
      </xdr:nvSpPr>
      <xdr:spPr bwMode="auto">
        <a:xfrm>
          <a:off x="121920" y="1356360"/>
          <a:ext cx="304800" cy="30394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xdr:row>
      <xdr:rowOff>0</xdr:rowOff>
    </xdr:from>
    <xdr:ext cx="304800" cy="307809"/>
    <xdr:sp macro="" textlink="">
      <xdr:nvSpPr>
        <xdr:cNvPr id="126" name="AutoShape 26" descr="add">
          <a:extLst>
            <a:ext uri="{FF2B5EF4-FFF2-40B4-BE49-F238E27FC236}">
              <a16:creationId xmlns:a16="http://schemas.microsoft.com/office/drawing/2014/main" id="{D304A1FB-5166-4799-B03D-DF9F26D5BC31}"/>
            </a:ext>
          </a:extLst>
        </xdr:cNvPr>
        <xdr:cNvSpPr>
          <a:spLocks noChangeAspect="1" noChangeArrowheads="1"/>
        </xdr:cNvSpPr>
      </xdr:nvSpPr>
      <xdr:spPr bwMode="auto">
        <a:xfrm>
          <a:off x="121920" y="1356360"/>
          <a:ext cx="304800" cy="30780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xdr:row>
      <xdr:rowOff>0</xdr:rowOff>
    </xdr:from>
    <xdr:ext cx="304800" cy="308264"/>
    <xdr:sp macro="" textlink="">
      <xdr:nvSpPr>
        <xdr:cNvPr id="127" name="AutoShape 26" descr="add">
          <a:extLst>
            <a:ext uri="{FF2B5EF4-FFF2-40B4-BE49-F238E27FC236}">
              <a16:creationId xmlns:a16="http://schemas.microsoft.com/office/drawing/2014/main" id="{502514A3-1EF8-4B95-B683-B8679D376D10}"/>
            </a:ext>
          </a:extLst>
        </xdr:cNvPr>
        <xdr:cNvSpPr>
          <a:spLocks noChangeAspect="1" noChangeArrowheads="1"/>
        </xdr:cNvSpPr>
      </xdr:nvSpPr>
      <xdr:spPr bwMode="auto">
        <a:xfrm>
          <a:off x="121920" y="1356360"/>
          <a:ext cx="304800" cy="30826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xdr:row>
      <xdr:rowOff>0</xdr:rowOff>
    </xdr:from>
    <xdr:ext cx="304800" cy="306660"/>
    <xdr:sp macro="" textlink="">
      <xdr:nvSpPr>
        <xdr:cNvPr id="128" name="AutoShape 20" descr="add">
          <a:extLst>
            <a:ext uri="{FF2B5EF4-FFF2-40B4-BE49-F238E27FC236}">
              <a16:creationId xmlns:a16="http://schemas.microsoft.com/office/drawing/2014/main" id="{1DF61CFE-6E2D-4CF0-A78E-A33003D2087F}"/>
            </a:ext>
          </a:extLst>
        </xdr:cNvPr>
        <xdr:cNvSpPr>
          <a:spLocks noChangeAspect="1" noChangeArrowheads="1"/>
        </xdr:cNvSpPr>
      </xdr:nvSpPr>
      <xdr:spPr bwMode="auto">
        <a:xfrm>
          <a:off x="121920" y="1356360"/>
          <a:ext cx="304800" cy="3066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xdr:row>
      <xdr:rowOff>0</xdr:rowOff>
    </xdr:from>
    <xdr:ext cx="304800" cy="306660"/>
    <xdr:sp macro="" textlink="">
      <xdr:nvSpPr>
        <xdr:cNvPr id="129" name="AutoShape 21" descr="add">
          <a:extLst>
            <a:ext uri="{FF2B5EF4-FFF2-40B4-BE49-F238E27FC236}">
              <a16:creationId xmlns:a16="http://schemas.microsoft.com/office/drawing/2014/main" id="{727E1308-1859-4F01-943D-E2CFBCB3F10A}"/>
            </a:ext>
          </a:extLst>
        </xdr:cNvPr>
        <xdr:cNvSpPr>
          <a:spLocks noChangeAspect="1" noChangeArrowheads="1"/>
        </xdr:cNvSpPr>
      </xdr:nvSpPr>
      <xdr:spPr bwMode="auto">
        <a:xfrm>
          <a:off x="121920" y="1356360"/>
          <a:ext cx="304800" cy="3066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xdr:row>
      <xdr:rowOff>0</xdr:rowOff>
    </xdr:from>
    <xdr:ext cx="304800" cy="306660"/>
    <xdr:sp macro="" textlink="">
      <xdr:nvSpPr>
        <xdr:cNvPr id="130" name="AutoShape 22" descr="add">
          <a:extLst>
            <a:ext uri="{FF2B5EF4-FFF2-40B4-BE49-F238E27FC236}">
              <a16:creationId xmlns:a16="http://schemas.microsoft.com/office/drawing/2014/main" id="{B1DAF7D7-1155-4936-8650-FDCF23CD9D9A}"/>
            </a:ext>
          </a:extLst>
        </xdr:cNvPr>
        <xdr:cNvSpPr>
          <a:spLocks noChangeAspect="1" noChangeArrowheads="1"/>
        </xdr:cNvSpPr>
      </xdr:nvSpPr>
      <xdr:spPr bwMode="auto">
        <a:xfrm>
          <a:off x="121920" y="1356360"/>
          <a:ext cx="304800" cy="3066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xdr:row>
      <xdr:rowOff>0</xdr:rowOff>
    </xdr:from>
    <xdr:ext cx="304800" cy="306660"/>
    <xdr:sp macro="" textlink="">
      <xdr:nvSpPr>
        <xdr:cNvPr id="131" name="AutoShape 20" descr="add">
          <a:extLst>
            <a:ext uri="{FF2B5EF4-FFF2-40B4-BE49-F238E27FC236}">
              <a16:creationId xmlns:a16="http://schemas.microsoft.com/office/drawing/2014/main" id="{F0FD61B0-6DD3-43D1-A6F2-CF2C5AFDA9CA}"/>
            </a:ext>
          </a:extLst>
        </xdr:cNvPr>
        <xdr:cNvSpPr>
          <a:spLocks noChangeAspect="1" noChangeArrowheads="1"/>
        </xdr:cNvSpPr>
      </xdr:nvSpPr>
      <xdr:spPr bwMode="auto">
        <a:xfrm>
          <a:off x="121920" y="1356360"/>
          <a:ext cx="304800" cy="3066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xdr:row>
      <xdr:rowOff>0</xdr:rowOff>
    </xdr:from>
    <xdr:ext cx="304800" cy="306660"/>
    <xdr:sp macro="" textlink="">
      <xdr:nvSpPr>
        <xdr:cNvPr id="132" name="AutoShape 21" descr="add">
          <a:extLst>
            <a:ext uri="{FF2B5EF4-FFF2-40B4-BE49-F238E27FC236}">
              <a16:creationId xmlns:a16="http://schemas.microsoft.com/office/drawing/2014/main" id="{7011D102-28DA-4C39-A56A-9854A936AA9A}"/>
            </a:ext>
          </a:extLst>
        </xdr:cNvPr>
        <xdr:cNvSpPr>
          <a:spLocks noChangeAspect="1" noChangeArrowheads="1"/>
        </xdr:cNvSpPr>
      </xdr:nvSpPr>
      <xdr:spPr bwMode="auto">
        <a:xfrm>
          <a:off x="121920" y="1356360"/>
          <a:ext cx="304800" cy="3066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xdr:row>
      <xdr:rowOff>0</xdr:rowOff>
    </xdr:from>
    <xdr:ext cx="304800" cy="306660"/>
    <xdr:sp macro="" textlink="">
      <xdr:nvSpPr>
        <xdr:cNvPr id="133" name="AutoShape 22" descr="add">
          <a:extLst>
            <a:ext uri="{FF2B5EF4-FFF2-40B4-BE49-F238E27FC236}">
              <a16:creationId xmlns:a16="http://schemas.microsoft.com/office/drawing/2014/main" id="{1EDA01E0-6CF1-4800-A2E0-DC57E9ED5FDD}"/>
            </a:ext>
          </a:extLst>
        </xdr:cNvPr>
        <xdr:cNvSpPr>
          <a:spLocks noChangeAspect="1" noChangeArrowheads="1"/>
        </xdr:cNvSpPr>
      </xdr:nvSpPr>
      <xdr:spPr bwMode="auto">
        <a:xfrm>
          <a:off x="121920" y="1356360"/>
          <a:ext cx="304800" cy="3066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xdr:row>
      <xdr:rowOff>0</xdr:rowOff>
    </xdr:from>
    <xdr:ext cx="304800" cy="306660"/>
    <xdr:sp macro="" textlink="">
      <xdr:nvSpPr>
        <xdr:cNvPr id="134" name="AutoShape 20" descr="add">
          <a:extLst>
            <a:ext uri="{FF2B5EF4-FFF2-40B4-BE49-F238E27FC236}">
              <a16:creationId xmlns:a16="http://schemas.microsoft.com/office/drawing/2014/main" id="{B71A0F5B-F728-499E-B5D9-F61CAF5ECBB3}"/>
            </a:ext>
          </a:extLst>
        </xdr:cNvPr>
        <xdr:cNvSpPr>
          <a:spLocks noChangeAspect="1" noChangeArrowheads="1"/>
        </xdr:cNvSpPr>
      </xdr:nvSpPr>
      <xdr:spPr bwMode="auto">
        <a:xfrm>
          <a:off x="121920" y="1356360"/>
          <a:ext cx="304800" cy="3066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xdr:row>
      <xdr:rowOff>0</xdr:rowOff>
    </xdr:from>
    <xdr:ext cx="304800" cy="306660"/>
    <xdr:sp macro="" textlink="">
      <xdr:nvSpPr>
        <xdr:cNvPr id="135" name="AutoShape 21" descr="add">
          <a:extLst>
            <a:ext uri="{FF2B5EF4-FFF2-40B4-BE49-F238E27FC236}">
              <a16:creationId xmlns:a16="http://schemas.microsoft.com/office/drawing/2014/main" id="{41E0F738-8337-42A4-ADDE-9DC3C4D928B3}"/>
            </a:ext>
          </a:extLst>
        </xdr:cNvPr>
        <xdr:cNvSpPr>
          <a:spLocks noChangeAspect="1" noChangeArrowheads="1"/>
        </xdr:cNvSpPr>
      </xdr:nvSpPr>
      <xdr:spPr bwMode="auto">
        <a:xfrm>
          <a:off x="121920" y="1356360"/>
          <a:ext cx="304800" cy="3066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xdr:row>
      <xdr:rowOff>0</xdr:rowOff>
    </xdr:from>
    <xdr:ext cx="304800" cy="306660"/>
    <xdr:sp macro="" textlink="">
      <xdr:nvSpPr>
        <xdr:cNvPr id="136" name="AutoShape 22" descr="add">
          <a:extLst>
            <a:ext uri="{FF2B5EF4-FFF2-40B4-BE49-F238E27FC236}">
              <a16:creationId xmlns:a16="http://schemas.microsoft.com/office/drawing/2014/main" id="{98963AF4-10C6-4640-A642-8660E19AFFEA}"/>
            </a:ext>
          </a:extLst>
        </xdr:cNvPr>
        <xdr:cNvSpPr>
          <a:spLocks noChangeAspect="1" noChangeArrowheads="1"/>
        </xdr:cNvSpPr>
      </xdr:nvSpPr>
      <xdr:spPr bwMode="auto">
        <a:xfrm>
          <a:off x="121920" y="1356360"/>
          <a:ext cx="304800" cy="3066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xdr:row>
      <xdr:rowOff>0</xdr:rowOff>
    </xdr:from>
    <xdr:ext cx="304800" cy="306660"/>
    <xdr:sp macro="" textlink="">
      <xdr:nvSpPr>
        <xdr:cNvPr id="137" name="AutoShape 20" descr="add">
          <a:extLst>
            <a:ext uri="{FF2B5EF4-FFF2-40B4-BE49-F238E27FC236}">
              <a16:creationId xmlns:a16="http://schemas.microsoft.com/office/drawing/2014/main" id="{A5D169C8-AEEE-403D-AAB2-1D21E894B9F6}"/>
            </a:ext>
          </a:extLst>
        </xdr:cNvPr>
        <xdr:cNvSpPr>
          <a:spLocks noChangeAspect="1" noChangeArrowheads="1"/>
        </xdr:cNvSpPr>
      </xdr:nvSpPr>
      <xdr:spPr bwMode="auto">
        <a:xfrm>
          <a:off x="121920" y="1356360"/>
          <a:ext cx="304800" cy="3066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xdr:row>
      <xdr:rowOff>0</xdr:rowOff>
    </xdr:from>
    <xdr:ext cx="304800" cy="306660"/>
    <xdr:sp macro="" textlink="">
      <xdr:nvSpPr>
        <xdr:cNvPr id="138" name="AutoShape 21" descr="add">
          <a:extLst>
            <a:ext uri="{FF2B5EF4-FFF2-40B4-BE49-F238E27FC236}">
              <a16:creationId xmlns:a16="http://schemas.microsoft.com/office/drawing/2014/main" id="{58F6BD00-DFA5-42DF-8438-1373610DE714}"/>
            </a:ext>
          </a:extLst>
        </xdr:cNvPr>
        <xdr:cNvSpPr>
          <a:spLocks noChangeAspect="1" noChangeArrowheads="1"/>
        </xdr:cNvSpPr>
      </xdr:nvSpPr>
      <xdr:spPr bwMode="auto">
        <a:xfrm>
          <a:off x="121920" y="1356360"/>
          <a:ext cx="304800" cy="3066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xdr:row>
      <xdr:rowOff>0</xdr:rowOff>
    </xdr:from>
    <xdr:ext cx="304800" cy="306660"/>
    <xdr:sp macro="" textlink="">
      <xdr:nvSpPr>
        <xdr:cNvPr id="139" name="AutoShape 22" descr="add">
          <a:extLst>
            <a:ext uri="{FF2B5EF4-FFF2-40B4-BE49-F238E27FC236}">
              <a16:creationId xmlns:a16="http://schemas.microsoft.com/office/drawing/2014/main" id="{13F2A8F7-A423-4C41-A5E4-07E69349896F}"/>
            </a:ext>
          </a:extLst>
        </xdr:cNvPr>
        <xdr:cNvSpPr>
          <a:spLocks noChangeAspect="1" noChangeArrowheads="1"/>
        </xdr:cNvSpPr>
      </xdr:nvSpPr>
      <xdr:spPr bwMode="auto">
        <a:xfrm>
          <a:off x="121920" y="1356360"/>
          <a:ext cx="304800" cy="3066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xdr:row>
      <xdr:rowOff>0</xdr:rowOff>
    </xdr:from>
    <xdr:ext cx="304800" cy="306660"/>
    <xdr:sp macro="" textlink="">
      <xdr:nvSpPr>
        <xdr:cNvPr id="140" name="AutoShape 19" descr="add">
          <a:extLst>
            <a:ext uri="{FF2B5EF4-FFF2-40B4-BE49-F238E27FC236}">
              <a16:creationId xmlns:a16="http://schemas.microsoft.com/office/drawing/2014/main" id="{C883EF3B-DBAB-4C95-8DC1-91818FD9798F}"/>
            </a:ext>
          </a:extLst>
        </xdr:cNvPr>
        <xdr:cNvSpPr>
          <a:spLocks noChangeAspect="1" noChangeArrowheads="1"/>
        </xdr:cNvSpPr>
      </xdr:nvSpPr>
      <xdr:spPr bwMode="auto">
        <a:xfrm>
          <a:off x="121920" y="1356360"/>
          <a:ext cx="304800" cy="3066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xdr:row>
      <xdr:rowOff>0</xdr:rowOff>
    </xdr:from>
    <xdr:ext cx="304800" cy="306659"/>
    <xdr:sp macro="" textlink="">
      <xdr:nvSpPr>
        <xdr:cNvPr id="141" name="AutoShape 20" descr="add">
          <a:extLst>
            <a:ext uri="{FF2B5EF4-FFF2-40B4-BE49-F238E27FC236}">
              <a16:creationId xmlns:a16="http://schemas.microsoft.com/office/drawing/2014/main" id="{D81328BE-835B-4BAC-9A6F-DAD030AB2557}"/>
            </a:ext>
          </a:extLst>
        </xdr:cNvPr>
        <xdr:cNvSpPr>
          <a:spLocks noChangeAspect="1" noChangeArrowheads="1"/>
        </xdr:cNvSpPr>
      </xdr:nvSpPr>
      <xdr:spPr bwMode="auto">
        <a:xfrm>
          <a:off x="121920" y="1356360"/>
          <a:ext cx="304800" cy="30665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xdr:row>
      <xdr:rowOff>0</xdr:rowOff>
    </xdr:from>
    <xdr:ext cx="304800" cy="306661"/>
    <xdr:sp macro="" textlink="">
      <xdr:nvSpPr>
        <xdr:cNvPr id="142" name="AutoShape 19" descr="add">
          <a:extLst>
            <a:ext uri="{FF2B5EF4-FFF2-40B4-BE49-F238E27FC236}">
              <a16:creationId xmlns:a16="http://schemas.microsoft.com/office/drawing/2014/main" id="{8FF401A1-A385-490F-99FF-61E44AC5FF97}"/>
            </a:ext>
          </a:extLst>
        </xdr:cNvPr>
        <xdr:cNvSpPr>
          <a:spLocks noChangeAspect="1" noChangeArrowheads="1"/>
        </xdr:cNvSpPr>
      </xdr:nvSpPr>
      <xdr:spPr bwMode="auto">
        <a:xfrm>
          <a:off x="121920" y="1356360"/>
          <a:ext cx="304800" cy="30666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xdr:row>
      <xdr:rowOff>0</xdr:rowOff>
    </xdr:from>
    <xdr:ext cx="304800" cy="306660"/>
    <xdr:sp macro="" textlink="">
      <xdr:nvSpPr>
        <xdr:cNvPr id="143" name="AutoShape 20" descr="add">
          <a:extLst>
            <a:ext uri="{FF2B5EF4-FFF2-40B4-BE49-F238E27FC236}">
              <a16:creationId xmlns:a16="http://schemas.microsoft.com/office/drawing/2014/main" id="{17B121F4-F7C6-470E-9EC5-A81DCE40D899}"/>
            </a:ext>
          </a:extLst>
        </xdr:cNvPr>
        <xdr:cNvSpPr>
          <a:spLocks noChangeAspect="1" noChangeArrowheads="1"/>
        </xdr:cNvSpPr>
      </xdr:nvSpPr>
      <xdr:spPr bwMode="auto">
        <a:xfrm>
          <a:off x="121920" y="1356360"/>
          <a:ext cx="304800" cy="3066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xdr:row>
      <xdr:rowOff>0</xdr:rowOff>
    </xdr:from>
    <xdr:ext cx="304800" cy="308263"/>
    <xdr:sp macro="" textlink="">
      <xdr:nvSpPr>
        <xdr:cNvPr id="144" name="AutoShape 19" descr="add">
          <a:extLst>
            <a:ext uri="{FF2B5EF4-FFF2-40B4-BE49-F238E27FC236}">
              <a16:creationId xmlns:a16="http://schemas.microsoft.com/office/drawing/2014/main" id="{7CD16C63-E488-40A3-A2A5-D6F83BCF1909}"/>
            </a:ext>
          </a:extLst>
        </xdr:cNvPr>
        <xdr:cNvSpPr>
          <a:spLocks noChangeAspect="1" noChangeArrowheads="1"/>
        </xdr:cNvSpPr>
      </xdr:nvSpPr>
      <xdr:spPr bwMode="auto">
        <a:xfrm>
          <a:off x="121920" y="1356360"/>
          <a:ext cx="304800" cy="30826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xdr:row>
      <xdr:rowOff>0</xdr:rowOff>
    </xdr:from>
    <xdr:ext cx="304800" cy="308264"/>
    <xdr:sp macro="" textlink="">
      <xdr:nvSpPr>
        <xdr:cNvPr id="145" name="AutoShape 20" descr="add">
          <a:extLst>
            <a:ext uri="{FF2B5EF4-FFF2-40B4-BE49-F238E27FC236}">
              <a16:creationId xmlns:a16="http://schemas.microsoft.com/office/drawing/2014/main" id="{2D6D28D2-C78A-4065-83BC-E663DD8D6D96}"/>
            </a:ext>
          </a:extLst>
        </xdr:cNvPr>
        <xdr:cNvSpPr>
          <a:spLocks noChangeAspect="1" noChangeArrowheads="1"/>
        </xdr:cNvSpPr>
      </xdr:nvSpPr>
      <xdr:spPr bwMode="auto">
        <a:xfrm>
          <a:off x="121920" y="1356360"/>
          <a:ext cx="304800" cy="30826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xdr:row>
      <xdr:rowOff>0</xdr:rowOff>
    </xdr:from>
    <xdr:ext cx="304800" cy="306661"/>
    <xdr:sp macro="" textlink="">
      <xdr:nvSpPr>
        <xdr:cNvPr id="146" name="AutoShape 19" descr="add">
          <a:extLst>
            <a:ext uri="{FF2B5EF4-FFF2-40B4-BE49-F238E27FC236}">
              <a16:creationId xmlns:a16="http://schemas.microsoft.com/office/drawing/2014/main" id="{B4C5604D-6E48-4F70-BE20-B233CE2CE93B}"/>
            </a:ext>
          </a:extLst>
        </xdr:cNvPr>
        <xdr:cNvSpPr>
          <a:spLocks noChangeAspect="1" noChangeArrowheads="1"/>
        </xdr:cNvSpPr>
      </xdr:nvSpPr>
      <xdr:spPr bwMode="auto">
        <a:xfrm>
          <a:off x="121920" y="1356360"/>
          <a:ext cx="304800" cy="30666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xdr:row>
      <xdr:rowOff>0</xdr:rowOff>
    </xdr:from>
    <xdr:ext cx="304800" cy="306660"/>
    <xdr:sp macro="" textlink="">
      <xdr:nvSpPr>
        <xdr:cNvPr id="147" name="AutoShape 20" descr="add">
          <a:extLst>
            <a:ext uri="{FF2B5EF4-FFF2-40B4-BE49-F238E27FC236}">
              <a16:creationId xmlns:a16="http://schemas.microsoft.com/office/drawing/2014/main" id="{BF92299C-8098-424D-9CB4-0F8F6EB1370D}"/>
            </a:ext>
          </a:extLst>
        </xdr:cNvPr>
        <xdr:cNvSpPr>
          <a:spLocks noChangeAspect="1" noChangeArrowheads="1"/>
        </xdr:cNvSpPr>
      </xdr:nvSpPr>
      <xdr:spPr bwMode="auto">
        <a:xfrm>
          <a:off x="121920" y="1356360"/>
          <a:ext cx="304800" cy="3066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xdr:row>
      <xdr:rowOff>0</xdr:rowOff>
    </xdr:from>
    <xdr:ext cx="304800" cy="306660"/>
    <xdr:sp macro="" textlink="">
      <xdr:nvSpPr>
        <xdr:cNvPr id="148" name="AutoShape 25" descr="add">
          <a:extLst>
            <a:ext uri="{FF2B5EF4-FFF2-40B4-BE49-F238E27FC236}">
              <a16:creationId xmlns:a16="http://schemas.microsoft.com/office/drawing/2014/main" id="{DCB02015-2304-496C-8438-1F5D429C0E22}"/>
            </a:ext>
          </a:extLst>
        </xdr:cNvPr>
        <xdr:cNvSpPr>
          <a:spLocks noChangeAspect="1" noChangeArrowheads="1"/>
        </xdr:cNvSpPr>
      </xdr:nvSpPr>
      <xdr:spPr bwMode="auto">
        <a:xfrm>
          <a:off x="121920" y="1356360"/>
          <a:ext cx="304800" cy="3066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xdr:row>
      <xdr:rowOff>0</xdr:rowOff>
    </xdr:from>
    <xdr:ext cx="304800" cy="306659"/>
    <xdr:sp macro="" textlink="">
      <xdr:nvSpPr>
        <xdr:cNvPr id="149" name="AutoShape 26" descr="add">
          <a:extLst>
            <a:ext uri="{FF2B5EF4-FFF2-40B4-BE49-F238E27FC236}">
              <a16:creationId xmlns:a16="http://schemas.microsoft.com/office/drawing/2014/main" id="{9F64C8DF-0B3F-4ED5-9097-D7B0BDFBB9D9}"/>
            </a:ext>
          </a:extLst>
        </xdr:cNvPr>
        <xdr:cNvSpPr>
          <a:spLocks noChangeAspect="1" noChangeArrowheads="1"/>
        </xdr:cNvSpPr>
      </xdr:nvSpPr>
      <xdr:spPr bwMode="auto">
        <a:xfrm>
          <a:off x="121920" y="1356360"/>
          <a:ext cx="304800" cy="30665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xdr:row>
      <xdr:rowOff>0</xdr:rowOff>
    </xdr:from>
    <xdr:ext cx="304800" cy="306658"/>
    <xdr:sp macro="" textlink="">
      <xdr:nvSpPr>
        <xdr:cNvPr id="150" name="AutoShape 27" descr="add">
          <a:extLst>
            <a:ext uri="{FF2B5EF4-FFF2-40B4-BE49-F238E27FC236}">
              <a16:creationId xmlns:a16="http://schemas.microsoft.com/office/drawing/2014/main" id="{9C974BB3-1D42-4C32-95D1-73A7E2278E09}"/>
            </a:ext>
          </a:extLst>
        </xdr:cNvPr>
        <xdr:cNvSpPr>
          <a:spLocks noChangeAspect="1" noChangeArrowheads="1"/>
        </xdr:cNvSpPr>
      </xdr:nvSpPr>
      <xdr:spPr bwMode="auto">
        <a:xfrm>
          <a:off x="121920" y="1356360"/>
          <a:ext cx="304800" cy="30665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xdr:row>
      <xdr:rowOff>0</xdr:rowOff>
    </xdr:from>
    <xdr:ext cx="304800" cy="306660"/>
    <xdr:sp macro="" textlink="">
      <xdr:nvSpPr>
        <xdr:cNvPr id="151" name="AutoShape 28" descr="add">
          <a:extLst>
            <a:ext uri="{FF2B5EF4-FFF2-40B4-BE49-F238E27FC236}">
              <a16:creationId xmlns:a16="http://schemas.microsoft.com/office/drawing/2014/main" id="{599B4882-1359-4E61-89D9-DD68BCEC8E91}"/>
            </a:ext>
          </a:extLst>
        </xdr:cNvPr>
        <xdr:cNvSpPr>
          <a:spLocks noChangeAspect="1" noChangeArrowheads="1"/>
        </xdr:cNvSpPr>
      </xdr:nvSpPr>
      <xdr:spPr bwMode="auto">
        <a:xfrm>
          <a:off x="121920" y="1356360"/>
          <a:ext cx="304800" cy="3066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xdr:row>
      <xdr:rowOff>0</xdr:rowOff>
    </xdr:from>
    <xdr:ext cx="304800" cy="303949"/>
    <xdr:sp macro="" textlink="">
      <xdr:nvSpPr>
        <xdr:cNvPr id="152" name="AutoShape 27" descr="add">
          <a:extLst>
            <a:ext uri="{FF2B5EF4-FFF2-40B4-BE49-F238E27FC236}">
              <a16:creationId xmlns:a16="http://schemas.microsoft.com/office/drawing/2014/main" id="{51943B02-BEAD-4CDD-A217-4C4E98E8BDE4}"/>
            </a:ext>
          </a:extLst>
        </xdr:cNvPr>
        <xdr:cNvSpPr>
          <a:spLocks noChangeAspect="1" noChangeArrowheads="1"/>
        </xdr:cNvSpPr>
      </xdr:nvSpPr>
      <xdr:spPr bwMode="auto">
        <a:xfrm>
          <a:off x="121920" y="1356360"/>
          <a:ext cx="304800" cy="30394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xdr:row>
      <xdr:rowOff>0</xdr:rowOff>
    </xdr:from>
    <xdr:ext cx="304800" cy="303949"/>
    <xdr:sp macro="" textlink="">
      <xdr:nvSpPr>
        <xdr:cNvPr id="153" name="AutoShape 28" descr="add">
          <a:extLst>
            <a:ext uri="{FF2B5EF4-FFF2-40B4-BE49-F238E27FC236}">
              <a16:creationId xmlns:a16="http://schemas.microsoft.com/office/drawing/2014/main" id="{71A2BC77-10AC-46A0-96C2-E1E4CB1EFAD0}"/>
            </a:ext>
          </a:extLst>
        </xdr:cNvPr>
        <xdr:cNvSpPr>
          <a:spLocks noChangeAspect="1" noChangeArrowheads="1"/>
        </xdr:cNvSpPr>
      </xdr:nvSpPr>
      <xdr:spPr bwMode="auto">
        <a:xfrm>
          <a:off x="121920" y="1356360"/>
          <a:ext cx="304800" cy="30394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xdr:row>
      <xdr:rowOff>0</xdr:rowOff>
    </xdr:from>
    <xdr:ext cx="304800" cy="308264"/>
    <xdr:sp macro="" textlink="">
      <xdr:nvSpPr>
        <xdr:cNvPr id="154" name="AutoShape 25" descr="add">
          <a:extLst>
            <a:ext uri="{FF2B5EF4-FFF2-40B4-BE49-F238E27FC236}">
              <a16:creationId xmlns:a16="http://schemas.microsoft.com/office/drawing/2014/main" id="{79021D76-4C9A-4AA4-B0AA-9DF075BFDD55}"/>
            </a:ext>
          </a:extLst>
        </xdr:cNvPr>
        <xdr:cNvSpPr>
          <a:spLocks noChangeAspect="1" noChangeArrowheads="1"/>
        </xdr:cNvSpPr>
      </xdr:nvSpPr>
      <xdr:spPr bwMode="auto">
        <a:xfrm>
          <a:off x="121920" y="1356360"/>
          <a:ext cx="304800" cy="30826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xdr:row>
      <xdr:rowOff>0</xdr:rowOff>
    </xdr:from>
    <xdr:ext cx="304800" cy="308264"/>
    <xdr:sp macro="" textlink="">
      <xdr:nvSpPr>
        <xdr:cNvPr id="155" name="AutoShape 26" descr="add">
          <a:extLst>
            <a:ext uri="{FF2B5EF4-FFF2-40B4-BE49-F238E27FC236}">
              <a16:creationId xmlns:a16="http://schemas.microsoft.com/office/drawing/2014/main" id="{CECA7465-00B7-47C2-AAB7-E9907C66A764}"/>
            </a:ext>
          </a:extLst>
        </xdr:cNvPr>
        <xdr:cNvSpPr>
          <a:spLocks noChangeAspect="1" noChangeArrowheads="1"/>
        </xdr:cNvSpPr>
      </xdr:nvSpPr>
      <xdr:spPr bwMode="auto">
        <a:xfrm>
          <a:off x="121920" y="1356360"/>
          <a:ext cx="304800" cy="30826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xdr:row>
      <xdr:rowOff>0</xdr:rowOff>
    </xdr:from>
    <xdr:ext cx="304800" cy="308263"/>
    <xdr:sp macro="" textlink="">
      <xdr:nvSpPr>
        <xdr:cNvPr id="156" name="AutoShape 27" descr="add">
          <a:extLst>
            <a:ext uri="{FF2B5EF4-FFF2-40B4-BE49-F238E27FC236}">
              <a16:creationId xmlns:a16="http://schemas.microsoft.com/office/drawing/2014/main" id="{BD64FA90-6F7E-4877-AB5D-6CC223C328B2}"/>
            </a:ext>
          </a:extLst>
        </xdr:cNvPr>
        <xdr:cNvSpPr>
          <a:spLocks noChangeAspect="1" noChangeArrowheads="1"/>
        </xdr:cNvSpPr>
      </xdr:nvSpPr>
      <xdr:spPr bwMode="auto">
        <a:xfrm>
          <a:off x="121920" y="1356360"/>
          <a:ext cx="304800" cy="30826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xdr:row>
      <xdr:rowOff>0</xdr:rowOff>
    </xdr:from>
    <xdr:ext cx="304800" cy="308264"/>
    <xdr:sp macro="" textlink="">
      <xdr:nvSpPr>
        <xdr:cNvPr id="157" name="AutoShape 28" descr="add">
          <a:extLst>
            <a:ext uri="{FF2B5EF4-FFF2-40B4-BE49-F238E27FC236}">
              <a16:creationId xmlns:a16="http://schemas.microsoft.com/office/drawing/2014/main" id="{108945F6-CE8D-49B2-9DE8-140ECC179572}"/>
            </a:ext>
          </a:extLst>
        </xdr:cNvPr>
        <xdr:cNvSpPr>
          <a:spLocks noChangeAspect="1" noChangeArrowheads="1"/>
        </xdr:cNvSpPr>
      </xdr:nvSpPr>
      <xdr:spPr bwMode="auto">
        <a:xfrm>
          <a:off x="121920" y="1356360"/>
          <a:ext cx="304800" cy="30826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xdr:row>
      <xdr:rowOff>0</xdr:rowOff>
    </xdr:from>
    <xdr:ext cx="304800" cy="303949"/>
    <xdr:sp macro="" textlink="">
      <xdr:nvSpPr>
        <xdr:cNvPr id="158" name="AutoShape 27" descr="add">
          <a:extLst>
            <a:ext uri="{FF2B5EF4-FFF2-40B4-BE49-F238E27FC236}">
              <a16:creationId xmlns:a16="http://schemas.microsoft.com/office/drawing/2014/main" id="{FD41E9C6-4AA8-4025-8532-3EC6A90F0A30}"/>
            </a:ext>
          </a:extLst>
        </xdr:cNvPr>
        <xdr:cNvSpPr>
          <a:spLocks noChangeAspect="1" noChangeArrowheads="1"/>
        </xdr:cNvSpPr>
      </xdr:nvSpPr>
      <xdr:spPr bwMode="auto">
        <a:xfrm>
          <a:off x="121920" y="1356360"/>
          <a:ext cx="304800" cy="30394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xdr:row>
      <xdr:rowOff>0</xdr:rowOff>
    </xdr:from>
    <xdr:ext cx="304800" cy="303949"/>
    <xdr:sp macro="" textlink="">
      <xdr:nvSpPr>
        <xdr:cNvPr id="159" name="AutoShape 28" descr="add">
          <a:extLst>
            <a:ext uri="{FF2B5EF4-FFF2-40B4-BE49-F238E27FC236}">
              <a16:creationId xmlns:a16="http://schemas.microsoft.com/office/drawing/2014/main" id="{FAC6D01E-571F-4DFD-B5B2-B71999854F63}"/>
            </a:ext>
          </a:extLst>
        </xdr:cNvPr>
        <xdr:cNvSpPr>
          <a:spLocks noChangeAspect="1" noChangeArrowheads="1"/>
        </xdr:cNvSpPr>
      </xdr:nvSpPr>
      <xdr:spPr bwMode="auto">
        <a:xfrm>
          <a:off x="121920" y="1356360"/>
          <a:ext cx="304800" cy="30394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xdr:row>
      <xdr:rowOff>0</xdr:rowOff>
    </xdr:from>
    <xdr:ext cx="304800" cy="307809"/>
    <xdr:sp macro="" textlink="">
      <xdr:nvSpPr>
        <xdr:cNvPr id="160" name="AutoShape 26" descr="add">
          <a:extLst>
            <a:ext uri="{FF2B5EF4-FFF2-40B4-BE49-F238E27FC236}">
              <a16:creationId xmlns:a16="http://schemas.microsoft.com/office/drawing/2014/main" id="{B541C243-DD1E-4B72-8BC5-8387A07A22C4}"/>
            </a:ext>
          </a:extLst>
        </xdr:cNvPr>
        <xdr:cNvSpPr>
          <a:spLocks noChangeAspect="1" noChangeArrowheads="1"/>
        </xdr:cNvSpPr>
      </xdr:nvSpPr>
      <xdr:spPr bwMode="auto">
        <a:xfrm>
          <a:off x="121920" y="1356360"/>
          <a:ext cx="304800" cy="30780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xdr:row>
      <xdr:rowOff>0</xdr:rowOff>
    </xdr:from>
    <xdr:ext cx="304800" cy="308264"/>
    <xdr:sp macro="" textlink="">
      <xdr:nvSpPr>
        <xdr:cNvPr id="161" name="AutoShape 26" descr="add">
          <a:extLst>
            <a:ext uri="{FF2B5EF4-FFF2-40B4-BE49-F238E27FC236}">
              <a16:creationId xmlns:a16="http://schemas.microsoft.com/office/drawing/2014/main" id="{9F78AF29-0379-4411-9E71-43931E755065}"/>
            </a:ext>
          </a:extLst>
        </xdr:cNvPr>
        <xdr:cNvSpPr>
          <a:spLocks noChangeAspect="1" noChangeArrowheads="1"/>
        </xdr:cNvSpPr>
      </xdr:nvSpPr>
      <xdr:spPr bwMode="auto">
        <a:xfrm>
          <a:off x="121920" y="1356360"/>
          <a:ext cx="304800" cy="30826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xdr:row>
      <xdr:rowOff>0</xdr:rowOff>
    </xdr:from>
    <xdr:ext cx="304800" cy="306660"/>
    <xdr:sp macro="" textlink="">
      <xdr:nvSpPr>
        <xdr:cNvPr id="162" name="AutoShape 28" descr="add">
          <a:extLst>
            <a:ext uri="{FF2B5EF4-FFF2-40B4-BE49-F238E27FC236}">
              <a16:creationId xmlns:a16="http://schemas.microsoft.com/office/drawing/2014/main" id="{0C8B5289-E936-4A02-9B44-736B530832D8}"/>
            </a:ext>
          </a:extLst>
        </xdr:cNvPr>
        <xdr:cNvSpPr>
          <a:spLocks noChangeAspect="1" noChangeArrowheads="1"/>
        </xdr:cNvSpPr>
      </xdr:nvSpPr>
      <xdr:spPr bwMode="auto">
        <a:xfrm>
          <a:off x="121920" y="1356360"/>
          <a:ext cx="304800" cy="3066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xdr:row>
      <xdr:rowOff>0</xdr:rowOff>
    </xdr:from>
    <xdr:ext cx="304800" cy="303949"/>
    <xdr:sp macro="" textlink="">
      <xdr:nvSpPr>
        <xdr:cNvPr id="163" name="AutoShape 28" descr="add">
          <a:extLst>
            <a:ext uri="{FF2B5EF4-FFF2-40B4-BE49-F238E27FC236}">
              <a16:creationId xmlns:a16="http://schemas.microsoft.com/office/drawing/2014/main" id="{C9A60961-DEA7-4948-8D2D-6CB4E121726A}"/>
            </a:ext>
          </a:extLst>
        </xdr:cNvPr>
        <xdr:cNvSpPr>
          <a:spLocks noChangeAspect="1" noChangeArrowheads="1"/>
        </xdr:cNvSpPr>
      </xdr:nvSpPr>
      <xdr:spPr bwMode="auto">
        <a:xfrm>
          <a:off x="121920" y="1356360"/>
          <a:ext cx="304800" cy="30394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xdr:row>
      <xdr:rowOff>0</xdr:rowOff>
    </xdr:from>
    <xdr:ext cx="304800" cy="308264"/>
    <xdr:sp macro="" textlink="">
      <xdr:nvSpPr>
        <xdr:cNvPr id="164" name="AutoShape 28" descr="add">
          <a:extLst>
            <a:ext uri="{FF2B5EF4-FFF2-40B4-BE49-F238E27FC236}">
              <a16:creationId xmlns:a16="http://schemas.microsoft.com/office/drawing/2014/main" id="{A9985274-5D8E-4EB7-B1BF-691852472B51}"/>
            </a:ext>
          </a:extLst>
        </xdr:cNvPr>
        <xdr:cNvSpPr>
          <a:spLocks noChangeAspect="1" noChangeArrowheads="1"/>
        </xdr:cNvSpPr>
      </xdr:nvSpPr>
      <xdr:spPr bwMode="auto">
        <a:xfrm>
          <a:off x="121920" y="1356360"/>
          <a:ext cx="304800" cy="30826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xdr:row>
      <xdr:rowOff>0</xdr:rowOff>
    </xdr:from>
    <xdr:ext cx="304800" cy="303949"/>
    <xdr:sp macro="" textlink="">
      <xdr:nvSpPr>
        <xdr:cNvPr id="165" name="AutoShape 28" descr="add">
          <a:extLst>
            <a:ext uri="{FF2B5EF4-FFF2-40B4-BE49-F238E27FC236}">
              <a16:creationId xmlns:a16="http://schemas.microsoft.com/office/drawing/2014/main" id="{97266870-A09B-4B69-834E-9B58C50C6366}"/>
            </a:ext>
          </a:extLst>
        </xdr:cNvPr>
        <xdr:cNvSpPr>
          <a:spLocks noChangeAspect="1" noChangeArrowheads="1"/>
        </xdr:cNvSpPr>
      </xdr:nvSpPr>
      <xdr:spPr bwMode="auto">
        <a:xfrm>
          <a:off x="121920" y="1356360"/>
          <a:ext cx="304800" cy="30394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xdr:row>
      <xdr:rowOff>0</xdr:rowOff>
    </xdr:from>
    <xdr:ext cx="304800" cy="307809"/>
    <xdr:sp macro="" textlink="">
      <xdr:nvSpPr>
        <xdr:cNvPr id="166" name="AutoShape 26" descr="add">
          <a:extLst>
            <a:ext uri="{FF2B5EF4-FFF2-40B4-BE49-F238E27FC236}">
              <a16:creationId xmlns:a16="http://schemas.microsoft.com/office/drawing/2014/main" id="{D766A6F1-889F-49FE-A8B0-D54DCF8CA64F}"/>
            </a:ext>
          </a:extLst>
        </xdr:cNvPr>
        <xdr:cNvSpPr>
          <a:spLocks noChangeAspect="1" noChangeArrowheads="1"/>
        </xdr:cNvSpPr>
      </xdr:nvSpPr>
      <xdr:spPr bwMode="auto">
        <a:xfrm>
          <a:off x="121920" y="1356360"/>
          <a:ext cx="304800" cy="30780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xdr:row>
      <xdr:rowOff>0</xdr:rowOff>
    </xdr:from>
    <xdr:ext cx="304800" cy="308264"/>
    <xdr:sp macro="" textlink="">
      <xdr:nvSpPr>
        <xdr:cNvPr id="167" name="AutoShape 26" descr="add">
          <a:extLst>
            <a:ext uri="{FF2B5EF4-FFF2-40B4-BE49-F238E27FC236}">
              <a16:creationId xmlns:a16="http://schemas.microsoft.com/office/drawing/2014/main" id="{08C280AD-BF3A-4B5F-9078-F15EBC5701C8}"/>
            </a:ext>
          </a:extLst>
        </xdr:cNvPr>
        <xdr:cNvSpPr>
          <a:spLocks noChangeAspect="1" noChangeArrowheads="1"/>
        </xdr:cNvSpPr>
      </xdr:nvSpPr>
      <xdr:spPr bwMode="auto">
        <a:xfrm>
          <a:off x="121920" y="1356360"/>
          <a:ext cx="304800" cy="30826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xdr:row>
      <xdr:rowOff>0</xdr:rowOff>
    </xdr:from>
    <xdr:ext cx="304800" cy="306660"/>
    <xdr:sp macro="" textlink="">
      <xdr:nvSpPr>
        <xdr:cNvPr id="168" name="AutoShape 25" descr="add">
          <a:extLst>
            <a:ext uri="{FF2B5EF4-FFF2-40B4-BE49-F238E27FC236}">
              <a16:creationId xmlns:a16="http://schemas.microsoft.com/office/drawing/2014/main" id="{91F68F72-03D8-489E-BB43-BFDBC2C7A45C}"/>
            </a:ext>
          </a:extLst>
        </xdr:cNvPr>
        <xdr:cNvSpPr>
          <a:spLocks noChangeAspect="1" noChangeArrowheads="1"/>
        </xdr:cNvSpPr>
      </xdr:nvSpPr>
      <xdr:spPr bwMode="auto">
        <a:xfrm>
          <a:off x="121920" y="1356360"/>
          <a:ext cx="304800" cy="3066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xdr:row>
      <xdr:rowOff>0</xdr:rowOff>
    </xdr:from>
    <xdr:ext cx="304800" cy="306659"/>
    <xdr:sp macro="" textlink="">
      <xdr:nvSpPr>
        <xdr:cNvPr id="169" name="AutoShape 26" descr="add">
          <a:extLst>
            <a:ext uri="{FF2B5EF4-FFF2-40B4-BE49-F238E27FC236}">
              <a16:creationId xmlns:a16="http://schemas.microsoft.com/office/drawing/2014/main" id="{2E37602F-F2AD-40C9-AE59-972F2E9BF099}"/>
            </a:ext>
          </a:extLst>
        </xdr:cNvPr>
        <xdr:cNvSpPr>
          <a:spLocks noChangeAspect="1" noChangeArrowheads="1"/>
        </xdr:cNvSpPr>
      </xdr:nvSpPr>
      <xdr:spPr bwMode="auto">
        <a:xfrm>
          <a:off x="121920" y="1356360"/>
          <a:ext cx="304800" cy="30665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xdr:row>
      <xdr:rowOff>0</xdr:rowOff>
    </xdr:from>
    <xdr:ext cx="304800" cy="306658"/>
    <xdr:sp macro="" textlink="">
      <xdr:nvSpPr>
        <xdr:cNvPr id="170" name="AutoShape 27" descr="add">
          <a:extLst>
            <a:ext uri="{FF2B5EF4-FFF2-40B4-BE49-F238E27FC236}">
              <a16:creationId xmlns:a16="http://schemas.microsoft.com/office/drawing/2014/main" id="{9B2ED6D9-E0CF-43E7-A62B-103022F863BD}"/>
            </a:ext>
          </a:extLst>
        </xdr:cNvPr>
        <xdr:cNvSpPr>
          <a:spLocks noChangeAspect="1" noChangeArrowheads="1"/>
        </xdr:cNvSpPr>
      </xdr:nvSpPr>
      <xdr:spPr bwMode="auto">
        <a:xfrm>
          <a:off x="121920" y="1356360"/>
          <a:ext cx="304800" cy="30665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xdr:row>
      <xdr:rowOff>0</xdr:rowOff>
    </xdr:from>
    <xdr:ext cx="304800" cy="306660"/>
    <xdr:sp macro="" textlink="">
      <xdr:nvSpPr>
        <xdr:cNvPr id="171" name="AutoShape 28" descr="add">
          <a:extLst>
            <a:ext uri="{FF2B5EF4-FFF2-40B4-BE49-F238E27FC236}">
              <a16:creationId xmlns:a16="http://schemas.microsoft.com/office/drawing/2014/main" id="{E6506AA3-1F17-4718-9C05-9CEBB9BAC97E}"/>
            </a:ext>
          </a:extLst>
        </xdr:cNvPr>
        <xdr:cNvSpPr>
          <a:spLocks noChangeAspect="1" noChangeArrowheads="1"/>
        </xdr:cNvSpPr>
      </xdr:nvSpPr>
      <xdr:spPr bwMode="auto">
        <a:xfrm>
          <a:off x="121920" y="1356360"/>
          <a:ext cx="304800" cy="3066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xdr:row>
      <xdr:rowOff>0</xdr:rowOff>
    </xdr:from>
    <xdr:ext cx="304800" cy="303949"/>
    <xdr:sp macro="" textlink="">
      <xdr:nvSpPr>
        <xdr:cNvPr id="172" name="AutoShape 27" descr="add">
          <a:extLst>
            <a:ext uri="{FF2B5EF4-FFF2-40B4-BE49-F238E27FC236}">
              <a16:creationId xmlns:a16="http://schemas.microsoft.com/office/drawing/2014/main" id="{FE564787-751F-4422-968C-790CF705DC36}"/>
            </a:ext>
          </a:extLst>
        </xdr:cNvPr>
        <xdr:cNvSpPr>
          <a:spLocks noChangeAspect="1" noChangeArrowheads="1"/>
        </xdr:cNvSpPr>
      </xdr:nvSpPr>
      <xdr:spPr bwMode="auto">
        <a:xfrm>
          <a:off x="121920" y="1356360"/>
          <a:ext cx="304800" cy="30394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xdr:row>
      <xdr:rowOff>0</xdr:rowOff>
    </xdr:from>
    <xdr:ext cx="304800" cy="303949"/>
    <xdr:sp macro="" textlink="">
      <xdr:nvSpPr>
        <xdr:cNvPr id="173" name="AutoShape 28" descr="add">
          <a:extLst>
            <a:ext uri="{FF2B5EF4-FFF2-40B4-BE49-F238E27FC236}">
              <a16:creationId xmlns:a16="http://schemas.microsoft.com/office/drawing/2014/main" id="{8EE67CE2-1D07-4F35-B0EB-739F96B15E56}"/>
            </a:ext>
          </a:extLst>
        </xdr:cNvPr>
        <xdr:cNvSpPr>
          <a:spLocks noChangeAspect="1" noChangeArrowheads="1"/>
        </xdr:cNvSpPr>
      </xdr:nvSpPr>
      <xdr:spPr bwMode="auto">
        <a:xfrm>
          <a:off x="121920" y="1356360"/>
          <a:ext cx="304800" cy="30394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xdr:row>
      <xdr:rowOff>0</xdr:rowOff>
    </xdr:from>
    <xdr:ext cx="304800" cy="308264"/>
    <xdr:sp macro="" textlink="">
      <xdr:nvSpPr>
        <xdr:cNvPr id="174" name="AutoShape 25" descr="add">
          <a:extLst>
            <a:ext uri="{FF2B5EF4-FFF2-40B4-BE49-F238E27FC236}">
              <a16:creationId xmlns:a16="http://schemas.microsoft.com/office/drawing/2014/main" id="{F3A73FFA-C298-42E4-877D-FF774D8B0666}"/>
            </a:ext>
          </a:extLst>
        </xdr:cNvPr>
        <xdr:cNvSpPr>
          <a:spLocks noChangeAspect="1" noChangeArrowheads="1"/>
        </xdr:cNvSpPr>
      </xdr:nvSpPr>
      <xdr:spPr bwMode="auto">
        <a:xfrm>
          <a:off x="121920" y="1356360"/>
          <a:ext cx="304800" cy="30826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xdr:row>
      <xdr:rowOff>0</xdr:rowOff>
    </xdr:from>
    <xdr:ext cx="304800" cy="308264"/>
    <xdr:sp macro="" textlink="">
      <xdr:nvSpPr>
        <xdr:cNvPr id="175" name="AutoShape 26" descr="add">
          <a:extLst>
            <a:ext uri="{FF2B5EF4-FFF2-40B4-BE49-F238E27FC236}">
              <a16:creationId xmlns:a16="http://schemas.microsoft.com/office/drawing/2014/main" id="{01D1BB1B-2EE8-4861-A94D-F9B3F56C466E}"/>
            </a:ext>
          </a:extLst>
        </xdr:cNvPr>
        <xdr:cNvSpPr>
          <a:spLocks noChangeAspect="1" noChangeArrowheads="1"/>
        </xdr:cNvSpPr>
      </xdr:nvSpPr>
      <xdr:spPr bwMode="auto">
        <a:xfrm>
          <a:off x="121920" y="1356360"/>
          <a:ext cx="304800" cy="30826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xdr:row>
      <xdr:rowOff>0</xdr:rowOff>
    </xdr:from>
    <xdr:ext cx="304800" cy="308263"/>
    <xdr:sp macro="" textlink="">
      <xdr:nvSpPr>
        <xdr:cNvPr id="176" name="AutoShape 27" descr="add">
          <a:extLst>
            <a:ext uri="{FF2B5EF4-FFF2-40B4-BE49-F238E27FC236}">
              <a16:creationId xmlns:a16="http://schemas.microsoft.com/office/drawing/2014/main" id="{EBA0339C-5C44-4D4D-B850-982D5DE44741}"/>
            </a:ext>
          </a:extLst>
        </xdr:cNvPr>
        <xdr:cNvSpPr>
          <a:spLocks noChangeAspect="1" noChangeArrowheads="1"/>
        </xdr:cNvSpPr>
      </xdr:nvSpPr>
      <xdr:spPr bwMode="auto">
        <a:xfrm>
          <a:off x="121920" y="1356360"/>
          <a:ext cx="304800" cy="30826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xdr:row>
      <xdr:rowOff>0</xdr:rowOff>
    </xdr:from>
    <xdr:ext cx="304800" cy="308264"/>
    <xdr:sp macro="" textlink="">
      <xdr:nvSpPr>
        <xdr:cNvPr id="177" name="AutoShape 28" descr="add">
          <a:extLst>
            <a:ext uri="{FF2B5EF4-FFF2-40B4-BE49-F238E27FC236}">
              <a16:creationId xmlns:a16="http://schemas.microsoft.com/office/drawing/2014/main" id="{6A6D24AA-EE5F-43AF-9B00-C4E39A2CE932}"/>
            </a:ext>
          </a:extLst>
        </xdr:cNvPr>
        <xdr:cNvSpPr>
          <a:spLocks noChangeAspect="1" noChangeArrowheads="1"/>
        </xdr:cNvSpPr>
      </xdr:nvSpPr>
      <xdr:spPr bwMode="auto">
        <a:xfrm>
          <a:off x="121920" y="1356360"/>
          <a:ext cx="304800" cy="30826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xdr:row>
      <xdr:rowOff>0</xdr:rowOff>
    </xdr:from>
    <xdr:ext cx="304800" cy="303949"/>
    <xdr:sp macro="" textlink="">
      <xdr:nvSpPr>
        <xdr:cNvPr id="178" name="AutoShape 27" descr="add">
          <a:extLst>
            <a:ext uri="{FF2B5EF4-FFF2-40B4-BE49-F238E27FC236}">
              <a16:creationId xmlns:a16="http://schemas.microsoft.com/office/drawing/2014/main" id="{DAB0F7E2-9DB5-4251-8EF1-875CBAD890AD}"/>
            </a:ext>
          </a:extLst>
        </xdr:cNvPr>
        <xdr:cNvSpPr>
          <a:spLocks noChangeAspect="1" noChangeArrowheads="1"/>
        </xdr:cNvSpPr>
      </xdr:nvSpPr>
      <xdr:spPr bwMode="auto">
        <a:xfrm>
          <a:off x="121920" y="1356360"/>
          <a:ext cx="304800" cy="30394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xdr:row>
      <xdr:rowOff>0</xdr:rowOff>
    </xdr:from>
    <xdr:ext cx="304800" cy="303949"/>
    <xdr:sp macro="" textlink="">
      <xdr:nvSpPr>
        <xdr:cNvPr id="179" name="AutoShape 28" descr="add">
          <a:extLst>
            <a:ext uri="{FF2B5EF4-FFF2-40B4-BE49-F238E27FC236}">
              <a16:creationId xmlns:a16="http://schemas.microsoft.com/office/drawing/2014/main" id="{A00AABAB-0891-4A1A-9226-84698E5C81BB}"/>
            </a:ext>
          </a:extLst>
        </xdr:cNvPr>
        <xdr:cNvSpPr>
          <a:spLocks noChangeAspect="1" noChangeArrowheads="1"/>
        </xdr:cNvSpPr>
      </xdr:nvSpPr>
      <xdr:spPr bwMode="auto">
        <a:xfrm>
          <a:off x="121920" y="1356360"/>
          <a:ext cx="304800" cy="30394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xdr:row>
      <xdr:rowOff>0</xdr:rowOff>
    </xdr:from>
    <xdr:ext cx="304800" cy="307809"/>
    <xdr:sp macro="" textlink="">
      <xdr:nvSpPr>
        <xdr:cNvPr id="180" name="AutoShape 26" descr="add">
          <a:extLst>
            <a:ext uri="{FF2B5EF4-FFF2-40B4-BE49-F238E27FC236}">
              <a16:creationId xmlns:a16="http://schemas.microsoft.com/office/drawing/2014/main" id="{1C23910A-55B3-4245-82C6-0B4E0E56BC8E}"/>
            </a:ext>
          </a:extLst>
        </xdr:cNvPr>
        <xdr:cNvSpPr>
          <a:spLocks noChangeAspect="1" noChangeArrowheads="1"/>
        </xdr:cNvSpPr>
      </xdr:nvSpPr>
      <xdr:spPr bwMode="auto">
        <a:xfrm>
          <a:off x="121920" y="1356360"/>
          <a:ext cx="304800" cy="30780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xdr:row>
      <xdr:rowOff>0</xdr:rowOff>
    </xdr:from>
    <xdr:ext cx="304800" cy="308264"/>
    <xdr:sp macro="" textlink="">
      <xdr:nvSpPr>
        <xdr:cNvPr id="181" name="AutoShape 26" descr="add">
          <a:extLst>
            <a:ext uri="{FF2B5EF4-FFF2-40B4-BE49-F238E27FC236}">
              <a16:creationId xmlns:a16="http://schemas.microsoft.com/office/drawing/2014/main" id="{8CA835A3-DF84-4B7F-AB10-590DDCAB9618}"/>
            </a:ext>
          </a:extLst>
        </xdr:cNvPr>
        <xdr:cNvSpPr>
          <a:spLocks noChangeAspect="1" noChangeArrowheads="1"/>
        </xdr:cNvSpPr>
      </xdr:nvSpPr>
      <xdr:spPr bwMode="auto">
        <a:xfrm>
          <a:off x="121920" y="1356360"/>
          <a:ext cx="304800" cy="30826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1</xdr:col>
      <xdr:colOff>0</xdr:colOff>
      <xdr:row>4</xdr:row>
      <xdr:rowOff>0</xdr:rowOff>
    </xdr:from>
    <xdr:to>
      <xdr:col>1</xdr:col>
      <xdr:colOff>304800</xdr:colOff>
      <xdr:row>5</xdr:row>
      <xdr:rowOff>111124</xdr:rowOff>
    </xdr:to>
    <xdr:sp macro="" textlink="">
      <xdr:nvSpPr>
        <xdr:cNvPr id="182" name="AutoShape 11" descr="subtract">
          <a:extLst>
            <a:ext uri="{FF2B5EF4-FFF2-40B4-BE49-F238E27FC236}">
              <a16:creationId xmlns:a16="http://schemas.microsoft.com/office/drawing/2014/main" id="{FB031D6B-F3A2-4AFD-8EE6-CF830E5F830C}"/>
            </a:ext>
          </a:extLst>
        </xdr:cNvPr>
        <xdr:cNvSpPr>
          <a:spLocks noChangeAspect="1" noChangeArrowheads="1"/>
        </xdr:cNvSpPr>
      </xdr:nvSpPr>
      <xdr:spPr bwMode="auto">
        <a:xfrm>
          <a:off x="121920" y="1356360"/>
          <a:ext cx="304800" cy="30352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1</xdr:col>
      <xdr:colOff>0</xdr:colOff>
      <xdr:row>4</xdr:row>
      <xdr:rowOff>0</xdr:rowOff>
    </xdr:from>
    <xdr:ext cx="304800" cy="306661"/>
    <xdr:sp macro="" textlink="">
      <xdr:nvSpPr>
        <xdr:cNvPr id="183" name="AutoShape 11" descr="subtract">
          <a:extLst>
            <a:ext uri="{FF2B5EF4-FFF2-40B4-BE49-F238E27FC236}">
              <a16:creationId xmlns:a16="http://schemas.microsoft.com/office/drawing/2014/main" id="{26252AF6-ECCE-40B9-827D-73B677B83CF0}"/>
            </a:ext>
          </a:extLst>
        </xdr:cNvPr>
        <xdr:cNvSpPr>
          <a:spLocks noChangeAspect="1" noChangeArrowheads="1"/>
        </xdr:cNvSpPr>
      </xdr:nvSpPr>
      <xdr:spPr bwMode="auto">
        <a:xfrm>
          <a:off x="121920" y="1356360"/>
          <a:ext cx="304800" cy="30666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xdr:row>
      <xdr:rowOff>0</xdr:rowOff>
    </xdr:from>
    <xdr:ext cx="304800" cy="308264"/>
    <xdr:sp macro="" textlink="">
      <xdr:nvSpPr>
        <xdr:cNvPr id="184" name="AutoShape 11" descr="subtract">
          <a:extLst>
            <a:ext uri="{FF2B5EF4-FFF2-40B4-BE49-F238E27FC236}">
              <a16:creationId xmlns:a16="http://schemas.microsoft.com/office/drawing/2014/main" id="{CC6483AF-FEF7-4073-BC0E-AA40DFBAAD2B}"/>
            </a:ext>
          </a:extLst>
        </xdr:cNvPr>
        <xdr:cNvSpPr>
          <a:spLocks noChangeAspect="1" noChangeArrowheads="1"/>
        </xdr:cNvSpPr>
      </xdr:nvSpPr>
      <xdr:spPr bwMode="auto">
        <a:xfrm>
          <a:off x="121920" y="1356360"/>
          <a:ext cx="304800" cy="30826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xdr:row>
      <xdr:rowOff>0</xdr:rowOff>
    </xdr:from>
    <xdr:ext cx="304800" cy="306661"/>
    <xdr:sp macro="" textlink="">
      <xdr:nvSpPr>
        <xdr:cNvPr id="185" name="AutoShape 11" descr="subtract">
          <a:extLst>
            <a:ext uri="{FF2B5EF4-FFF2-40B4-BE49-F238E27FC236}">
              <a16:creationId xmlns:a16="http://schemas.microsoft.com/office/drawing/2014/main" id="{C81BEFBD-9872-4CD0-A82B-DFC598068E5B}"/>
            </a:ext>
          </a:extLst>
        </xdr:cNvPr>
        <xdr:cNvSpPr>
          <a:spLocks noChangeAspect="1" noChangeArrowheads="1"/>
        </xdr:cNvSpPr>
      </xdr:nvSpPr>
      <xdr:spPr bwMode="auto">
        <a:xfrm>
          <a:off x="121920" y="1356360"/>
          <a:ext cx="304800" cy="30666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xdr:row>
      <xdr:rowOff>0</xdr:rowOff>
    </xdr:from>
    <xdr:ext cx="304800" cy="304800"/>
    <xdr:sp macro="" textlink="">
      <xdr:nvSpPr>
        <xdr:cNvPr id="186" name="AutoShape 11" descr="subtract">
          <a:extLst>
            <a:ext uri="{FF2B5EF4-FFF2-40B4-BE49-F238E27FC236}">
              <a16:creationId xmlns:a16="http://schemas.microsoft.com/office/drawing/2014/main" id="{772590B1-08B3-4C38-8BF9-18AEBCF576B4}"/>
            </a:ext>
          </a:extLst>
        </xdr:cNvPr>
        <xdr:cNvSpPr>
          <a:spLocks noChangeAspect="1" noChangeArrowheads="1"/>
        </xdr:cNvSpPr>
      </xdr:nvSpPr>
      <xdr:spPr bwMode="auto">
        <a:xfrm>
          <a:off x="121920" y="13563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xdr:row>
      <xdr:rowOff>0</xdr:rowOff>
    </xdr:from>
    <xdr:ext cx="304800" cy="306661"/>
    <xdr:sp macro="" textlink="">
      <xdr:nvSpPr>
        <xdr:cNvPr id="187" name="AutoShape 11" descr="subtract">
          <a:extLst>
            <a:ext uri="{FF2B5EF4-FFF2-40B4-BE49-F238E27FC236}">
              <a16:creationId xmlns:a16="http://schemas.microsoft.com/office/drawing/2014/main" id="{6DC2EF59-056B-4DC1-B07F-674B59D9B48E}"/>
            </a:ext>
          </a:extLst>
        </xdr:cNvPr>
        <xdr:cNvSpPr>
          <a:spLocks noChangeAspect="1" noChangeArrowheads="1"/>
        </xdr:cNvSpPr>
      </xdr:nvSpPr>
      <xdr:spPr bwMode="auto">
        <a:xfrm>
          <a:off x="121920" y="1356360"/>
          <a:ext cx="304800" cy="30666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xdr:row>
      <xdr:rowOff>0</xdr:rowOff>
    </xdr:from>
    <xdr:ext cx="304800" cy="308264"/>
    <xdr:sp macro="" textlink="">
      <xdr:nvSpPr>
        <xdr:cNvPr id="188" name="AutoShape 11" descr="subtract">
          <a:extLst>
            <a:ext uri="{FF2B5EF4-FFF2-40B4-BE49-F238E27FC236}">
              <a16:creationId xmlns:a16="http://schemas.microsoft.com/office/drawing/2014/main" id="{EDF34DCE-A83D-4A81-B2DB-1E9589D59021}"/>
            </a:ext>
          </a:extLst>
        </xdr:cNvPr>
        <xdr:cNvSpPr>
          <a:spLocks noChangeAspect="1" noChangeArrowheads="1"/>
        </xdr:cNvSpPr>
      </xdr:nvSpPr>
      <xdr:spPr bwMode="auto">
        <a:xfrm>
          <a:off x="121920" y="1356360"/>
          <a:ext cx="304800" cy="30826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xdr:row>
      <xdr:rowOff>0</xdr:rowOff>
    </xdr:from>
    <xdr:ext cx="304800" cy="306661"/>
    <xdr:sp macro="" textlink="">
      <xdr:nvSpPr>
        <xdr:cNvPr id="189" name="AutoShape 11" descr="subtract">
          <a:extLst>
            <a:ext uri="{FF2B5EF4-FFF2-40B4-BE49-F238E27FC236}">
              <a16:creationId xmlns:a16="http://schemas.microsoft.com/office/drawing/2014/main" id="{86C263F8-0B71-4C70-9441-A48749AFE831}"/>
            </a:ext>
          </a:extLst>
        </xdr:cNvPr>
        <xdr:cNvSpPr>
          <a:spLocks noChangeAspect="1" noChangeArrowheads="1"/>
        </xdr:cNvSpPr>
      </xdr:nvSpPr>
      <xdr:spPr bwMode="auto">
        <a:xfrm>
          <a:off x="121920" y="1356360"/>
          <a:ext cx="304800" cy="30666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xdr:row>
      <xdr:rowOff>0</xdr:rowOff>
    </xdr:from>
    <xdr:ext cx="304800" cy="304800"/>
    <xdr:sp macro="" textlink="">
      <xdr:nvSpPr>
        <xdr:cNvPr id="190" name="AutoShape 11" descr="subtract">
          <a:extLst>
            <a:ext uri="{FF2B5EF4-FFF2-40B4-BE49-F238E27FC236}">
              <a16:creationId xmlns:a16="http://schemas.microsoft.com/office/drawing/2014/main" id="{A8E69CF5-87D7-4DDB-9F85-1009623EABEE}"/>
            </a:ext>
          </a:extLst>
        </xdr:cNvPr>
        <xdr:cNvSpPr>
          <a:spLocks noChangeAspect="1" noChangeArrowheads="1"/>
        </xdr:cNvSpPr>
      </xdr:nvSpPr>
      <xdr:spPr bwMode="auto">
        <a:xfrm>
          <a:off x="121920" y="13563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xdr:row>
      <xdr:rowOff>0</xdr:rowOff>
    </xdr:from>
    <xdr:ext cx="304800" cy="306661"/>
    <xdr:sp macro="" textlink="">
      <xdr:nvSpPr>
        <xdr:cNvPr id="191" name="AutoShape 11" descr="subtract">
          <a:extLst>
            <a:ext uri="{FF2B5EF4-FFF2-40B4-BE49-F238E27FC236}">
              <a16:creationId xmlns:a16="http://schemas.microsoft.com/office/drawing/2014/main" id="{E6B4FAE7-BA21-4551-AB04-C11A13F84696}"/>
            </a:ext>
          </a:extLst>
        </xdr:cNvPr>
        <xdr:cNvSpPr>
          <a:spLocks noChangeAspect="1" noChangeArrowheads="1"/>
        </xdr:cNvSpPr>
      </xdr:nvSpPr>
      <xdr:spPr bwMode="auto">
        <a:xfrm>
          <a:off x="121920" y="1356360"/>
          <a:ext cx="304800" cy="30666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xdr:row>
      <xdr:rowOff>0</xdr:rowOff>
    </xdr:from>
    <xdr:ext cx="304800" cy="308264"/>
    <xdr:sp macro="" textlink="">
      <xdr:nvSpPr>
        <xdr:cNvPr id="192" name="AutoShape 11" descr="subtract">
          <a:extLst>
            <a:ext uri="{FF2B5EF4-FFF2-40B4-BE49-F238E27FC236}">
              <a16:creationId xmlns:a16="http://schemas.microsoft.com/office/drawing/2014/main" id="{310E8D6B-9D14-42C8-A919-8CD3AE9ECDDE}"/>
            </a:ext>
          </a:extLst>
        </xdr:cNvPr>
        <xdr:cNvSpPr>
          <a:spLocks noChangeAspect="1" noChangeArrowheads="1"/>
        </xdr:cNvSpPr>
      </xdr:nvSpPr>
      <xdr:spPr bwMode="auto">
        <a:xfrm>
          <a:off x="121920" y="1356360"/>
          <a:ext cx="304800" cy="30826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xdr:row>
      <xdr:rowOff>0</xdr:rowOff>
    </xdr:from>
    <xdr:ext cx="304800" cy="306661"/>
    <xdr:sp macro="" textlink="">
      <xdr:nvSpPr>
        <xdr:cNvPr id="193" name="AutoShape 11" descr="subtract">
          <a:extLst>
            <a:ext uri="{FF2B5EF4-FFF2-40B4-BE49-F238E27FC236}">
              <a16:creationId xmlns:a16="http://schemas.microsoft.com/office/drawing/2014/main" id="{88FD7ECB-73B3-4459-AFD8-C36F54D2B23F}"/>
            </a:ext>
          </a:extLst>
        </xdr:cNvPr>
        <xdr:cNvSpPr>
          <a:spLocks noChangeAspect="1" noChangeArrowheads="1"/>
        </xdr:cNvSpPr>
      </xdr:nvSpPr>
      <xdr:spPr bwMode="auto">
        <a:xfrm>
          <a:off x="121920" y="1356360"/>
          <a:ext cx="304800" cy="30666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1</xdr:col>
      <xdr:colOff>0</xdr:colOff>
      <xdr:row>4</xdr:row>
      <xdr:rowOff>0</xdr:rowOff>
    </xdr:from>
    <xdr:to>
      <xdr:col>1</xdr:col>
      <xdr:colOff>304800</xdr:colOff>
      <xdr:row>5</xdr:row>
      <xdr:rowOff>111124</xdr:rowOff>
    </xdr:to>
    <xdr:sp macro="" textlink="">
      <xdr:nvSpPr>
        <xdr:cNvPr id="194" name="AutoShape 11" descr="subtract">
          <a:extLst>
            <a:ext uri="{FF2B5EF4-FFF2-40B4-BE49-F238E27FC236}">
              <a16:creationId xmlns:a16="http://schemas.microsoft.com/office/drawing/2014/main" id="{A98D5BAF-438A-4EA3-9E31-F37DC2D43B89}"/>
            </a:ext>
          </a:extLst>
        </xdr:cNvPr>
        <xdr:cNvSpPr>
          <a:spLocks noChangeAspect="1" noChangeArrowheads="1"/>
        </xdr:cNvSpPr>
      </xdr:nvSpPr>
      <xdr:spPr bwMode="auto">
        <a:xfrm>
          <a:off x="121920" y="1356360"/>
          <a:ext cx="304800" cy="30352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1</xdr:col>
      <xdr:colOff>0</xdr:colOff>
      <xdr:row>4</xdr:row>
      <xdr:rowOff>0</xdr:rowOff>
    </xdr:from>
    <xdr:ext cx="304800" cy="306661"/>
    <xdr:sp macro="" textlink="">
      <xdr:nvSpPr>
        <xdr:cNvPr id="195" name="AutoShape 11" descr="subtract">
          <a:extLst>
            <a:ext uri="{FF2B5EF4-FFF2-40B4-BE49-F238E27FC236}">
              <a16:creationId xmlns:a16="http://schemas.microsoft.com/office/drawing/2014/main" id="{E6585412-28A8-4F04-B693-9337C3BEF574}"/>
            </a:ext>
          </a:extLst>
        </xdr:cNvPr>
        <xdr:cNvSpPr>
          <a:spLocks noChangeAspect="1" noChangeArrowheads="1"/>
        </xdr:cNvSpPr>
      </xdr:nvSpPr>
      <xdr:spPr bwMode="auto">
        <a:xfrm>
          <a:off x="121920" y="1356360"/>
          <a:ext cx="304800" cy="30666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xdr:row>
      <xdr:rowOff>0</xdr:rowOff>
    </xdr:from>
    <xdr:ext cx="304800" cy="308264"/>
    <xdr:sp macro="" textlink="">
      <xdr:nvSpPr>
        <xdr:cNvPr id="196" name="AutoShape 11" descr="subtract">
          <a:extLst>
            <a:ext uri="{FF2B5EF4-FFF2-40B4-BE49-F238E27FC236}">
              <a16:creationId xmlns:a16="http://schemas.microsoft.com/office/drawing/2014/main" id="{4962745F-4F0B-41BE-ACCC-F445A3FC3480}"/>
            </a:ext>
          </a:extLst>
        </xdr:cNvPr>
        <xdr:cNvSpPr>
          <a:spLocks noChangeAspect="1" noChangeArrowheads="1"/>
        </xdr:cNvSpPr>
      </xdr:nvSpPr>
      <xdr:spPr bwMode="auto">
        <a:xfrm>
          <a:off x="121920" y="1356360"/>
          <a:ext cx="304800" cy="30826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xdr:row>
      <xdr:rowOff>0</xdr:rowOff>
    </xdr:from>
    <xdr:ext cx="304800" cy="306661"/>
    <xdr:sp macro="" textlink="">
      <xdr:nvSpPr>
        <xdr:cNvPr id="197" name="AutoShape 11" descr="subtract">
          <a:extLst>
            <a:ext uri="{FF2B5EF4-FFF2-40B4-BE49-F238E27FC236}">
              <a16:creationId xmlns:a16="http://schemas.microsoft.com/office/drawing/2014/main" id="{D416FA03-6CE5-4946-A08B-915EEF1B1A7E}"/>
            </a:ext>
          </a:extLst>
        </xdr:cNvPr>
        <xdr:cNvSpPr>
          <a:spLocks noChangeAspect="1" noChangeArrowheads="1"/>
        </xdr:cNvSpPr>
      </xdr:nvSpPr>
      <xdr:spPr bwMode="auto">
        <a:xfrm>
          <a:off x="121920" y="1356360"/>
          <a:ext cx="304800" cy="30666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wsDr>
</file>

<file path=xl/drawings/drawing3.xml><?xml version="1.0" encoding="utf-8"?>
<xdr:wsDr xmlns:xdr="http://schemas.openxmlformats.org/drawingml/2006/spreadsheetDrawing" xmlns:a="http://schemas.openxmlformats.org/drawingml/2006/main">
  <xdr:twoCellAnchor editAs="oneCell">
    <xdr:from>
      <xdr:col>1</xdr:col>
      <xdr:colOff>197879</xdr:colOff>
      <xdr:row>2</xdr:row>
      <xdr:rowOff>7090</xdr:rowOff>
    </xdr:from>
    <xdr:to>
      <xdr:col>14</xdr:col>
      <xdr:colOff>44502</xdr:colOff>
      <xdr:row>8</xdr:row>
      <xdr:rowOff>25906</xdr:rowOff>
    </xdr:to>
    <xdr:pic>
      <xdr:nvPicPr>
        <xdr:cNvPr id="13" name="Picture 12">
          <a:extLst>
            <a:ext uri="{FF2B5EF4-FFF2-40B4-BE49-F238E27FC236}">
              <a16:creationId xmlns:a16="http://schemas.microsoft.com/office/drawing/2014/main" id="{D929D849-0360-2FA1-943A-9F631023E00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27610" y="375800"/>
          <a:ext cx="7746569" cy="1124945"/>
        </a:xfrm>
        <a:prstGeom prst="rect">
          <a:avLst/>
        </a:prstGeom>
      </xdr:spPr>
    </xdr:pic>
    <xdr:clientData/>
  </xdr:twoCellAnchor>
  <xdr:twoCellAnchor editAs="oneCell">
    <xdr:from>
      <xdr:col>1</xdr:col>
      <xdr:colOff>172584</xdr:colOff>
      <xdr:row>9</xdr:row>
      <xdr:rowOff>160767</xdr:rowOff>
    </xdr:from>
    <xdr:to>
      <xdr:col>12</xdr:col>
      <xdr:colOff>144009</xdr:colOff>
      <xdr:row>19</xdr:row>
      <xdr:rowOff>62343</xdr:rowOff>
    </xdr:to>
    <xdr:pic>
      <xdr:nvPicPr>
        <xdr:cNvPr id="15" name="Picture 14">
          <a:extLst>
            <a:ext uri="{FF2B5EF4-FFF2-40B4-BE49-F238E27FC236}">
              <a16:creationId xmlns:a16="http://schemas.microsoft.com/office/drawing/2014/main" id="{FA2741A9-CDB6-6A06-5985-7DCE2B9CDCA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2315" y="1819961"/>
          <a:ext cx="6655995" cy="1745124"/>
        </a:xfrm>
        <a:prstGeom prst="rect">
          <a:avLst/>
        </a:prstGeom>
      </xdr:spPr>
    </xdr:pic>
    <xdr:clientData/>
  </xdr:twoCellAnchor>
  <xdr:twoCellAnchor editAs="oneCell">
    <xdr:from>
      <xdr:col>1</xdr:col>
      <xdr:colOff>32660</xdr:colOff>
      <xdr:row>35</xdr:row>
      <xdr:rowOff>125173</xdr:rowOff>
    </xdr:from>
    <xdr:to>
      <xdr:col>13</xdr:col>
      <xdr:colOff>487948</xdr:colOff>
      <xdr:row>41</xdr:row>
      <xdr:rowOff>45106</xdr:rowOff>
    </xdr:to>
    <xdr:pic>
      <xdr:nvPicPr>
        <xdr:cNvPr id="17" name="Picture 16">
          <a:extLst>
            <a:ext uri="{FF2B5EF4-FFF2-40B4-BE49-F238E27FC236}">
              <a16:creationId xmlns:a16="http://schemas.microsoft.com/office/drawing/2014/main" id="{70827192-2437-C8C0-441F-B6BA96BFB4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2391" y="6577592"/>
          <a:ext cx="7747546" cy="1026062"/>
        </a:xfrm>
        <a:prstGeom prst="rect">
          <a:avLst/>
        </a:prstGeom>
      </xdr:spPr>
    </xdr:pic>
    <xdr:clientData/>
  </xdr:twoCellAnchor>
  <xdr:twoCellAnchor editAs="oneCell">
    <xdr:from>
      <xdr:col>1</xdr:col>
      <xdr:colOff>42833</xdr:colOff>
      <xdr:row>28</xdr:row>
      <xdr:rowOff>160650</xdr:rowOff>
    </xdr:from>
    <xdr:to>
      <xdr:col>13</xdr:col>
      <xdr:colOff>138083</xdr:colOff>
      <xdr:row>35</xdr:row>
      <xdr:rowOff>62020</xdr:rowOff>
    </xdr:to>
    <xdr:pic>
      <xdr:nvPicPr>
        <xdr:cNvPr id="19" name="Picture 18">
          <a:extLst>
            <a:ext uri="{FF2B5EF4-FFF2-40B4-BE49-F238E27FC236}">
              <a16:creationId xmlns:a16="http://schemas.microsoft.com/office/drawing/2014/main" id="{E481E910-BDD8-E7E0-9D3A-7D7C33715A5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72564" y="5322585"/>
          <a:ext cx="7387508" cy="1191854"/>
        </a:xfrm>
        <a:prstGeom prst="rect">
          <a:avLst/>
        </a:prstGeom>
      </xdr:spPr>
    </xdr:pic>
    <xdr:clientData/>
  </xdr:twoCellAnchor>
  <xdr:twoCellAnchor editAs="oneCell">
    <xdr:from>
      <xdr:col>1</xdr:col>
      <xdr:colOff>171173</xdr:colOff>
      <xdr:row>20</xdr:row>
      <xdr:rowOff>108534</xdr:rowOff>
    </xdr:from>
    <xdr:to>
      <xdr:col>14</xdr:col>
      <xdr:colOff>17796</xdr:colOff>
      <xdr:row>27</xdr:row>
      <xdr:rowOff>164707</xdr:rowOff>
    </xdr:to>
    <xdr:pic>
      <xdr:nvPicPr>
        <xdr:cNvPr id="21" name="Picture 20">
          <a:extLst>
            <a:ext uri="{FF2B5EF4-FFF2-40B4-BE49-F238E27FC236}">
              <a16:creationId xmlns:a16="http://schemas.microsoft.com/office/drawing/2014/main" id="{02DEA786-E1B8-DD3F-2AFC-38903F00A578}"/>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00904" y="3795631"/>
          <a:ext cx="7746569" cy="1346657"/>
        </a:xfrm>
        <a:prstGeom prst="rect">
          <a:avLst/>
        </a:prstGeom>
      </xdr:spPr>
    </xdr:pic>
    <xdr:clientData/>
  </xdr:twoCellAnchor>
  <xdr:twoCellAnchor editAs="oneCell">
    <xdr:from>
      <xdr:col>1</xdr:col>
      <xdr:colOff>143774</xdr:colOff>
      <xdr:row>42</xdr:row>
      <xdr:rowOff>119812</xdr:rowOff>
    </xdr:from>
    <xdr:to>
      <xdr:col>17</xdr:col>
      <xdr:colOff>131658</xdr:colOff>
      <xdr:row>53</xdr:row>
      <xdr:rowOff>143454</xdr:rowOff>
    </xdr:to>
    <xdr:pic>
      <xdr:nvPicPr>
        <xdr:cNvPr id="22" name="Picture 21">
          <a:extLst>
            <a:ext uri="{FF2B5EF4-FFF2-40B4-BE49-F238E27FC236}">
              <a16:creationId xmlns:a16="http://schemas.microsoft.com/office/drawing/2014/main" id="{75458870-B9FA-DAE1-0EBE-D5B16A454004}"/>
            </a:ext>
          </a:extLst>
        </xdr:cNvPr>
        <xdr:cNvPicPr>
          <a:picLocks noChangeAspect="1"/>
        </xdr:cNvPicPr>
      </xdr:nvPicPr>
      <xdr:blipFill>
        <a:blip xmlns:r="http://schemas.openxmlformats.org/officeDocument/2006/relationships" r:embed="rId6"/>
        <a:stretch>
          <a:fillRect/>
        </a:stretch>
      </xdr:blipFill>
      <xdr:spPr>
        <a:xfrm>
          <a:off x="275566" y="7667925"/>
          <a:ext cx="9764488" cy="2000529"/>
        </a:xfrm>
        <a:prstGeom prst="rect">
          <a:avLst/>
        </a:prstGeom>
      </xdr:spPr>
    </xdr:pic>
    <xdr:clientData/>
  </xdr:twoCellAnchor>
  <xdr:twoCellAnchor editAs="oneCell">
    <xdr:from>
      <xdr:col>1</xdr:col>
      <xdr:colOff>174314</xdr:colOff>
      <xdr:row>54</xdr:row>
      <xdr:rowOff>49804</xdr:rowOff>
    </xdr:from>
    <xdr:to>
      <xdr:col>29</xdr:col>
      <xdr:colOff>398432</xdr:colOff>
      <xdr:row>62</xdr:row>
      <xdr:rowOff>149412</xdr:rowOff>
    </xdr:to>
    <xdr:pic>
      <xdr:nvPicPr>
        <xdr:cNvPr id="2" name="Picture 1">
          <a:extLst>
            <a:ext uri="{FF2B5EF4-FFF2-40B4-BE49-F238E27FC236}">
              <a16:creationId xmlns:a16="http://schemas.microsoft.com/office/drawing/2014/main" id="{83B3F4CA-2D6A-9FC4-9106-381447579344}"/>
            </a:ext>
          </a:extLst>
        </xdr:cNvPr>
        <xdr:cNvPicPr>
          <a:picLocks noChangeAspect="1"/>
        </xdr:cNvPicPr>
      </xdr:nvPicPr>
      <xdr:blipFill>
        <a:blip xmlns:r="http://schemas.openxmlformats.org/officeDocument/2006/relationships" r:embed="rId7"/>
        <a:stretch>
          <a:fillRect/>
        </a:stretch>
      </xdr:blipFill>
      <xdr:spPr>
        <a:xfrm>
          <a:off x="323726" y="10807451"/>
          <a:ext cx="19050000" cy="1693334"/>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9A6866B-1C55-4400-84D5-B87207698A34}" name="Table2" displayName="Table2" ref="B79:B94" totalsRowShown="0">
  <autoFilter ref="B79:B94" xr:uid="{59A6866B-1C55-4400-84D5-B87207698A34}">
    <filterColumn colId="0" hiddenButton="1"/>
  </autoFilter>
  <tableColumns count="1">
    <tableColumn id="1" xr3:uid="{39192D60-064D-483A-BA63-E1E5EDF20C89}" name="Gujarat  solar energy consumption"/>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25E1B-E461-E14A-AC36-FD6DA2185ED4}">
  <dimension ref="A11:C19"/>
  <sheetViews>
    <sheetView showGridLines="0" zoomScale="65" workbookViewId="0">
      <selection activeCell="F23" sqref="F23"/>
    </sheetView>
  </sheetViews>
  <sheetFormatPr defaultColWidth="11.44140625" defaultRowHeight="14.4"/>
  <cols>
    <col min="1" max="1" width="2.33203125" customWidth="1"/>
    <col min="2" max="2" width="33.44140625" bestFit="1" customWidth="1"/>
    <col min="3" max="3" width="14.6640625" customWidth="1"/>
  </cols>
  <sheetData>
    <row r="11" spans="1:3" ht="21">
      <c r="B11" s="32" t="s">
        <v>0</v>
      </c>
      <c r="C11" s="33" t="s">
        <v>1</v>
      </c>
    </row>
    <row r="12" spans="1:3" ht="21">
      <c r="A12" s="20"/>
      <c r="B12" s="30" t="s">
        <v>2</v>
      </c>
      <c r="C12" s="34" t="s">
        <v>3</v>
      </c>
    </row>
    <row r="13" spans="1:3" ht="21">
      <c r="A13" s="20"/>
      <c r="B13" s="30" t="s">
        <v>4</v>
      </c>
      <c r="C13" s="34" t="s">
        <v>5</v>
      </c>
    </row>
    <row r="14" spans="1:3" ht="21">
      <c r="A14" s="20"/>
      <c r="B14" s="30" t="s">
        <v>6</v>
      </c>
      <c r="C14" s="34" t="s">
        <v>7</v>
      </c>
    </row>
    <row r="15" spans="1:3" ht="21">
      <c r="A15" s="20"/>
      <c r="B15" s="30" t="s">
        <v>8</v>
      </c>
      <c r="C15" s="34" t="s">
        <v>9</v>
      </c>
    </row>
    <row r="16" spans="1:3" ht="21">
      <c r="A16" s="20"/>
      <c r="B16" s="30" t="s">
        <v>10</v>
      </c>
      <c r="C16" s="34" t="s">
        <v>11</v>
      </c>
    </row>
    <row r="17" spans="1:3" ht="21">
      <c r="A17" s="20"/>
      <c r="B17" s="30" t="s">
        <v>12</v>
      </c>
      <c r="C17" s="34" t="s">
        <v>13</v>
      </c>
    </row>
    <row r="18" spans="1:3" ht="21">
      <c r="A18" s="20"/>
      <c r="B18" s="30" t="s">
        <v>14</v>
      </c>
      <c r="C18" s="34" t="s">
        <v>15</v>
      </c>
    </row>
    <row r="19" spans="1:3" ht="21">
      <c r="A19" s="20"/>
      <c r="B19" s="31" t="s">
        <v>16</v>
      </c>
      <c r="C19" s="35" t="s">
        <v>17</v>
      </c>
    </row>
  </sheetData>
  <sortState xmlns:xlrd2="http://schemas.microsoft.com/office/spreadsheetml/2017/richdata2" ref="B12:C19">
    <sortCondition ref="B12:B19"/>
  </sortState>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83AA1F-657E-4B1B-9E3E-B7E96226126E}">
  <dimension ref="B2:D9"/>
  <sheetViews>
    <sheetView showGridLines="0" workbookViewId="0">
      <selection activeCell="D14" sqref="D14"/>
    </sheetView>
  </sheetViews>
  <sheetFormatPr defaultColWidth="8.77734375" defaultRowHeight="14.4"/>
  <cols>
    <col min="1" max="1" width="1.77734375" customWidth="1"/>
    <col min="3" max="3" width="22.33203125" bestFit="1" customWidth="1"/>
  </cols>
  <sheetData>
    <row r="2" spans="2:4">
      <c r="B2" s="164" t="s">
        <v>18</v>
      </c>
      <c r="C2" s="164" t="s">
        <v>19</v>
      </c>
      <c r="D2" s="42"/>
    </row>
    <row r="3" spans="2:4">
      <c r="B3" s="53">
        <v>1</v>
      </c>
      <c r="C3" s="77" t="s">
        <v>209</v>
      </c>
      <c r="D3" s="42"/>
    </row>
    <row r="4" spans="2:4">
      <c r="B4" s="53">
        <v>2</v>
      </c>
      <c r="C4" s="77" t="s">
        <v>210</v>
      </c>
      <c r="D4" s="42"/>
    </row>
    <row r="5" spans="2:4">
      <c r="B5" s="53">
        <v>3</v>
      </c>
      <c r="C5" s="78" t="s">
        <v>211</v>
      </c>
      <c r="D5" s="42"/>
    </row>
    <row r="6" spans="2:4">
      <c r="B6" s="53">
        <v>4</v>
      </c>
      <c r="C6" s="78" t="s">
        <v>212</v>
      </c>
      <c r="D6" s="42"/>
    </row>
    <row r="7" spans="2:4">
      <c r="B7" s="53">
        <v>5</v>
      </c>
      <c r="C7" s="78" t="s">
        <v>213</v>
      </c>
      <c r="D7" s="42"/>
    </row>
    <row r="8" spans="2:4">
      <c r="B8" s="53">
        <v>6</v>
      </c>
      <c r="C8" s="79" t="s">
        <v>214</v>
      </c>
      <c r="D8" s="42"/>
    </row>
    <row r="9" spans="2:4">
      <c r="B9" s="54">
        <v>7</v>
      </c>
      <c r="C9" s="182" t="s">
        <v>247</v>
      </c>
    </row>
  </sheetData>
  <hyperlinks>
    <hyperlink ref="C3" location="Assumption!A1" display="Assumption" xr:uid="{AF5B3854-E24B-45DC-B6A8-A29F554A3DBC}"/>
    <hyperlink ref="C4" location="Schedules!A1" display="Schedules" xr:uid="{7AC42C96-7242-4121-A86B-5351BCD6D7F2}"/>
    <hyperlink ref="C5" location="'Income Statement'!A1" display="'Income Statement'" xr:uid="{3B410573-4C4A-4257-A214-CE60B15DE922}"/>
    <hyperlink ref="C6" location="'Balance Sheet'!A1" display="'Balance Sheet'" xr:uid="{8FDEB7E6-D748-44FE-B7EE-7FFC3325E3A0}"/>
    <hyperlink ref="C7" location="'Cash Flow Statement'!A1" display="'Cash Flow Statement'" xr:uid="{854F99F2-3ACA-4824-A1B4-86A787509C51}"/>
    <hyperlink ref="C8" location="'Output Analysis-NPV_IRR'!A1" display="'Output Analysis-NPV_IRR'" xr:uid="{4D07CFE8-1186-4B53-9E07-889C0F569840}"/>
    <hyperlink ref="C9" location="References!A1" display="References" xr:uid="{5F783B96-BA86-436E-BF3F-002972AEA3CD}"/>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06006A-8CCB-458E-9233-1EA3BD063863}">
  <dimension ref="B1:P102"/>
  <sheetViews>
    <sheetView showGridLines="0" topLeftCell="A51" zoomScale="74" workbookViewId="0">
      <selection activeCell="G47" sqref="G47"/>
    </sheetView>
  </sheetViews>
  <sheetFormatPr defaultColWidth="8.77734375" defaultRowHeight="15" customHeight="1"/>
  <cols>
    <col min="1" max="1" width="1.77734375" customWidth="1"/>
    <col min="2" max="2" width="45.109375" customWidth="1"/>
    <col min="3" max="3" width="25.33203125" customWidth="1"/>
    <col min="4" max="4" width="21.6640625" customWidth="1"/>
    <col min="5" max="5" width="27.33203125" customWidth="1"/>
    <col min="6" max="7" width="17.44140625" customWidth="1"/>
    <col min="8" max="8" width="7" customWidth="1"/>
    <col min="9" max="13" width="5.77734375" bestFit="1" customWidth="1"/>
    <col min="14" max="14" width="6.33203125" bestFit="1" customWidth="1"/>
    <col min="15" max="15" width="5.44140625" bestFit="1" customWidth="1"/>
  </cols>
  <sheetData>
    <row r="1" spans="2:4" ht="14.4">
      <c r="B1" s="13" t="s">
        <v>20</v>
      </c>
    </row>
    <row r="2" spans="2:4" ht="14.4">
      <c r="B2" s="13" t="s">
        <v>21</v>
      </c>
    </row>
    <row r="3" spans="2:4" ht="14.4">
      <c r="B3" s="13" t="s">
        <v>221</v>
      </c>
    </row>
    <row r="4" spans="2:4" ht="14.4">
      <c r="B4" s="13"/>
    </row>
    <row r="5" spans="2:4" ht="14.4">
      <c r="B5" s="13" t="s">
        <v>244</v>
      </c>
    </row>
    <row r="6" spans="2:4" ht="14.4">
      <c r="B6" s="13" t="s">
        <v>245</v>
      </c>
    </row>
    <row r="8" spans="2:4" ht="14.4">
      <c r="B8" s="93" t="s">
        <v>22</v>
      </c>
      <c r="C8" s="104"/>
    </row>
    <row r="9" spans="2:4" ht="14.4">
      <c r="B9" s="42" t="s">
        <v>23</v>
      </c>
      <c r="C9" s="116">
        <v>45017</v>
      </c>
      <c r="D9" s="2"/>
    </row>
    <row r="10" spans="2:4" ht="14.4">
      <c r="B10" s="42"/>
      <c r="C10" s="113">
        <v>0</v>
      </c>
      <c r="D10" s="2"/>
    </row>
    <row r="11" spans="2:4" ht="14.4">
      <c r="B11" s="80" t="s">
        <v>24</v>
      </c>
      <c r="C11" s="117">
        <f>EDATE(C9,C10)</f>
        <v>45017</v>
      </c>
    </row>
    <row r="12" spans="2:4" ht="14.4"/>
    <row r="13" spans="2:4" ht="14.4">
      <c r="B13" s="93" t="s">
        <v>25</v>
      </c>
      <c r="C13" s="109" t="s">
        <v>26</v>
      </c>
    </row>
    <row r="14" spans="2:4" ht="14.4">
      <c r="B14" s="42" t="s">
        <v>27</v>
      </c>
      <c r="C14" s="107">
        <v>0.5</v>
      </c>
    </row>
    <row r="15" spans="2:4" ht="14.4">
      <c r="B15" s="42" t="s">
        <v>28</v>
      </c>
      <c r="C15" s="107">
        <v>0.25</v>
      </c>
    </row>
    <row r="16" spans="2:4" ht="14.4">
      <c r="B16" s="42" t="s">
        <v>29</v>
      </c>
      <c r="C16" s="107">
        <v>0.02</v>
      </c>
    </row>
    <row r="17" spans="2:15" ht="14.4">
      <c r="B17" s="42" t="s">
        <v>30</v>
      </c>
      <c r="C17" s="107">
        <v>0.23</v>
      </c>
    </row>
    <row r="18" spans="2:15" ht="14.4">
      <c r="B18" s="80"/>
      <c r="C18" s="108" t="b">
        <f>SUM(C14:C17)=1</f>
        <v>1</v>
      </c>
    </row>
    <row r="19" spans="2:15" ht="14.4"/>
    <row r="20" spans="2:15" ht="14.4">
      <c r="B20" s="93" t="s">
        <v>31</v>
      </c>
      <c r="C20" s="109" t="s">
        <v>32</v>
      </c>
    </row>
    <row r="21" spans="2:15" ht="14.4">
      <c r="B21" s="42" t="s">
        <v>33</v>
      </c>
      <c r="C21" s="107">
        <v>0.06</v>
      </c>
    </row>
    <row r="22" spans="2:15" ht="14.4">
      <c r="B22" s="42" t="s">
        <v>34</v>
      </c>
      <c r="C22" s="107">
        <v>0.02</v>
      </c>
    </row>
    <row r="23" spans="2:15" ht="14.4">
      <c r="B23" s="42" t="s">
        <v>35</v>
      </c>
      <c r="C23" s="107">
        <v>0.35</v>
      </c>
    </row>
    <row r="24" spans="2:15" ht="14.4">
      <c r="B24" s="110" t="s">
        <v>36</v>
      </c>
      <c r="C24" s="111"/>
    </row>
    <row r="25" spans="2:15" ht="14.4">
      <c r="B25" s="13"/>
      <c r="C25" s="15"/>
    </row>
    <row r="26" spans="2:15" ht="14.4">
      <c r="B26" s="123" t="s">
        <v>239</v>
      </c>
      <c r="C26" s="124"/>
    </row>
    <row r="27" spans="2:15" ht="14.4">
      <c r="B27" s="42" t="s">
        <v>37</v>
      </c>
      <c r="C27" s="114">
        <v>0.25</v>
      </c>
    </row>
    <row r="28" spans="2:15" ht="14.4">
      <c r="B28" s="42" t="s">
        <v>38</v>
      </c>
      <c r="C28" s="113">
        <v>2</v>
      </c>
    </row>
    <row r="29" spans="2:15" ht="14.4">
      <c r="B29" s="42" t="s">
        <v>227</v>
      </c>
      <c r="C29" s="114">
        <v>0.05</v>
      </c>
    </row>
    <row r="30" spans="2:15" ht="14.4">
      <c r="B30" s="80" t="s">
        <v>228</v>
      </c>
      <c r="C30" s="115">
        <v>2.5000000000000001E-2</v>
      </c>
    </row>
    <row r="31" spans="2:15" ht="14.4">
      <c r="C31" s="12"/>
    </row>
    <row r="32" spans="2:15" ht="15" customHeight="1">
      <c r="B32" s="93" t="s">
        <v>39</v>
      </c>
      <c r="C32" s="122" t="s">
        <v>40</v>
      </c>
      <c r="D32" s="122" t="s">
        <v>41</v>
      </c>
      <c r="E32" s="109" t="s">
        <v>42</v>
      </c>
      <c r="H32" s="190" t="s">
        <v>43</v>
      </c>
      <c r="I32" s="118" t="s">
        <v>44</v>
      </c>
      <c r="J32" s="118" t="s">
        <v>45</v>
      </c>
      <c r="K32" s="118" t="s">
        <v>46</v>
      </c>
      <c r="L32" s="118" t="s">
        <v>47</v>
      </c>
      <c r="M32" s="118" t="s">
        <v>48</v>
      </c>
      <c r="N32" s="118" t="s">
        <v>49</v>
      </c>
      <c r="O32" s="102"/>
    </row>
    <row r="33" spans="2:16" ht="14.4">
      <c r="B33" s="42" t="s">
        <v>50</v>
      </c>
      <c r="C33" s="165">
        <v>50000000</v>
      </c>
      <c r="D33" s="119">
        <v>0</v>
      </c>
      <c r="E33" s="114">
        <v>0</v>
      </c>
      <c r="H33" s="191"/>
      <c r="I33" s="15">
        <v>1</v>
      </c>
      <c r="J33" s="15">
        <v>0</v>
      </c>
      <c r="K33" s="15">
        <v>0</v>
      </c>
      <c r="L33" s="15">
        <v>0</v>
      </c>
      <c r="M33" s="15">
        <v>0</v>
      </c>
      <c r="N33" s="15">
        <v>0</v>
      </c>
      <c r="O33" s="47" t="b">
        <f>SUM(I33:N33)=1</f>
        <v>1</v>
      </c>
    </row>
    <row r="34" spans="2:16" ht="14.4">
      <c r="B34" s="42" t="s">
        <v>51</v>
      </c>
      <c r="C34" s="165">
        <v>20000000</v>
      </c>
      <c r="D34" s="119">
        <v>0.02</v>
      </c>
      <c r="E34" s="114">
        <v>0.3</v>
      </c>
      <c r="H34" s="191"/>
      <c r="I34" s="15">
        <v>0.35</v>
      </c>
      <c r="J34" s="15">
        <v>0.2</v>
      </c>
      <c r="K34" s="15">
        <v>0.15</v>
      </c>
      <c r="L34" s="15">
        <v>0.1</v>
      </c>
      <c r="M34" s="15">
        <v>0.1</v>
      </c>
      <c r="N34" s="15">
        <v>0.1</v>
      </c>
      <c r="O34" s="47" t="b">
        <f>SUM(I34:N34)=1</f>
        <v>1</v>
      </c>
      <c r="P34" s="1"/>
    </row>
    <row r="35" spans="2:16" ht="14.4">
      <c r="B35" s="42" t="s">
        <v>52</v>
      </c>
      <c r="C35" s="165">
        <v>100000000</v>
      </c>
      <c r="D35" s="119">
        <v>6.6600000000000006E-2</v>
      </c>
      <c r="E35" s="114">
        <v>0.2</v>
      </c>
      <c r="H35" s="191"/>
      <c r="I35" s="15">
        <v>0.4</v>
      </c>
      <c r="J35" s="15">
        <v>0.3</v>
      </c>
      <c r="K35" s="15">
        <v>0.2</v>
      </c>
      <c r="L35" s="15">
        <v>0.1</v>
      </c>
      <c r="M35" s="15">
        <v>0</v>
      </c>
      <c r="N35" s="15">
        <v>0</v>
      </c>
      <c r="O35" s="47" t="b">
        <f>SUM(I35:N35)=1</f>
        <v>1</v>
      </c>
    </row>
    <row r="36" spans="2:16" ht="14.4">
      <c r="B36" s="110"/>
      <c r="C36" s="120"/>
      <c r="D36" s="121"/>
      <c r="E36" s="115"/>
      <c r="H36" s="192"/>
      <c r="I36" s="52"/>
      <c r="J36" s="52"/>
      <c r="K36" s="52"/>
      <c r="L36" s="52"/>
      <c r="M36" s="52"/>
      <c r="N36" s="52"/>
      <c r="O36" s="103"/>
    </row>
    <row r="37" spans="2:16" ht="14.4">
      <c r="H37" s="10"/>
      <c r="O37" t="s">
        <v>53</v>
      </c>
    </row>
    <row r="38" spans="2:16" ht="14.4">
      <c r="B38" s="93" t="s">
        <v>54</v>
      </c>
      <c r="C38" s="104"/>
      <c r="E38" s="93" t="s">
        <v>240</v>
      </c>
      <c r="F38" s="128"/>
    </row>
    <row r="39" spans="2:16" ht="14.4">
      <c r="B39" s="45" t="s">
        <v>55</v>
      </c>
      <c r="C39" s="125">
        <v>0.8</v>
      </c>
      <c r="E39" s="42" t="s">
        <v>56</v>
      </c>
      <c r="F39" s="113">
        <v>10</v>
      </c>
    </row>
    <row r="40" spans="2:16" ht="14.4">
      <c r="B40" s="45" t="s">
        <v>57</v>
      </c>
      <c r="C40" s="125">
        <v>0.05</v>
      </c>
      <c r="E40" s="42" t="s">
        <v>58</v>
      </c>
      <c r="F40" s="113">
        <v>0</v>
      </c>
    </row>
    <row r="41" spans="2:16" ht="14.4">
      <c r="B41" s="45" t="s">
        <v>59</v>
      </c>
      <c r="C41" s="125">
        <v>0.15</v>
      </c>
      <c r="E41" s="80" t="s">
        <v>60</v>
      </c>
      <c r="F41" s="127">
        <v>6.5000000000000002E-2</v>
      </c>
    </row>
    <row r="42" spans="2:16" ht="14.4">
      <c r="B42" s="80"/>
      <c r="C42" s="126" t="b">
        <f>SUM(C39:C41)=1</f>
        <v>1</v>
      </c>
    </row>
    <row r="43" spans="2:16" ht="14.4">
      <c r="C43" s="1"/>
    </row>
    <row r="44" spans="2:16" ht="14.4">
      <c r="B44" s="93" t="s">
        <v>61</v>
      </c>
      <c r="C44" s="132"/>
      <c r="D44" s="91"/>
      <c r="E44" s="104"/>
    </row>
    <row r="45" spans="2:16" ht="14.4">
      <c r="B45" s="42" t="s">
        <v>62</v>
      </c>
      <c r="C45" t="s">
        <v>63</v>
      </c>
      <c r="E45" s="44"/>
    </row>
    <row r="46" spans="2:16" ht="14.4">
      <c r="B46" s="42"/>
      <c r="C46" t="s">
        <v>64</v>
      </c>
      <c r="D46" s="15">
        <v>0.08</v>
      </c>
      <c r="E46" s="44"/>
    </row>
    <row r="47" spans="2:16" ht="14.4">
      <c r="B47" s="42"/>
      <c r="C47" t="s">
        <v>65</v>
      </c>
      <c r="D47" s="15">
        <v>0.15</v>
      </c>
      <c r="E47" s="44"/>
    </row>
    <row r="48" spans="2:16" ht="14.4">
      <c r="B48" s="42"/>
      <c r="D48" s="15"/>
      <c r="E48" s="131" t="s">
        <v>208</v>
      </c>
    </row>
    <row r="49" spans="2:6" ht="14.4">
      <c r="B49" s="42" t="s">
        <v>66</v>
      </c>
      <c r="C49" t="s">
        <v>67</v>
      </c>
      <c r="D49" s="12">
        <v>45</v>
      </c>
      <c r="E49" s="129">
        <f>365/D49</f>
        <v>8.1111111111111107</v>
      </c>
    </row>
    <row r="50" spans="2:6" ht="14.4">
      <c r="B50" s="80" t="s">
        <v>68</v>
      </c>
      <c r="C50" s="52" t="s">
        <v>67</v>
      </c>
      <c r="D50" s="120">
        <v>90</v>
      </c>
      <c r="E50" s="130">
        <f>365/D50</f>
        <v>4.0555555555555554</v>
      </c>
    </row>
    <row r="52" spans="2:6" ht="14.4">
      <c r="B52" s="133" t="s">
        <v>69</v>
      </c>
      <c r="C52" s="91"/>
      <c r="D52" s="104"/>
    </row>
    <row r="53" spans="2:6" ht="14.4">
      <c r="B53" s="136" t="s">
        <v>70</v>
      </c>
      <c r="C53" s="137"/>
      <c r="D53" s="138"/>
    </row>
    <row r="54" spans="2:6" ht="14.4">
      <c r="B54" s="134" t="s">
        <v>71</v>
      </c>
      <c r="C54" t="s">
        <v>72</v>
      </c>
      <c r="D54" s="166">
        <v>250000</v>
      </c>
    </row>
    <row r="55" spans="2:6" ht="14.4">
      <c r="B55" s="134" t="s">
        <v>73</v>
      </c>
      <c r="C55" t="s">
        <v>74</v>
      </c>
      <c r="D55" s="169">
        <f>D54*9.3%</f>
        <v>23250.000000000004</v>
      </c>
    </row>
    <row r="56" spans="2:6" ht="14.4">
      <c r="B56" s="134"/>
      <c r="D56" s="167"/>
    </row>
    <row r="57" spans="2:6" ht="14.4">
      <c r="B57" s="134" t="s">
        <v>75</v>
      </c>
      <c r="C57" t="s">
        <v>76</v>
      </c>
      <c r="D57" s="167">
        <v>250</v>
      </c>
    </row>
    <row r="58" spans="2:6" ht="14.4">
      <c r="B58" s="134" t="s">
        <v>77</v>
      </c>
      <c r="C58" t="s">
        <v>78</v>
      </c>
      <c r="D58" s="169">
        <f>D57*D55</f>
        <v>5812500.0000000009</v>
      </c>
    </row>
    <row r="59" spans="2:6" ht="14.4">
      <c r="B59" s="134"/>
      <c r="D59" s="167"/>
    </row>
    <row r="60" spans="2:6" ht="14.4">
      <c r="B60" s="134" t="s">
        <v>79</v>
      </c>
      <c r="C60" t="s">
        <v>80</v>
      </c>
      <c r="D60" s="167">
        <v>1000</v>
      </c>
    </row>
    <row r="61" spans="2:6" ht="14.4">
      <c r="B61" s="134" t="s">
        <v>81</v>
      </c>
      <c r="C61" t="s">
        <v>82</v>
      </c>
      <c r="D61" s="169">
        <f>D60/1000</f>
        <v>1</v>
      </c>
      <c r="F61" s="8"/>
    </row>
    <row r="62" spans="2:6" ht="14.4">
      <c r="B62" s="42"/>
      <c r="D62" s="167"/>
    </row>
    <row r="63" spans="2:6" ht="14.4">
      <c r="B63" s="42" t="s">
        <v>67</v>
      </c>
      <c r="D63" s="167">
        <v>365</v>
      </c>
    </row>
    <row r="64" spans="2:6" ht="14.4">
      <c r="B64" s="42" t="s">
        <v>83</v>
      </c>
      <c r="C64" t="s">
        <v>84</v>
      </c>
      <c r="D64" s="167">
        <v>5</v>
      </c>
    </row>
    <row r="65" spans="2:5" ht="14.4">
      <c r="B65" s="134" t="s">
        <v>85</v>
      </c>
      <c r="D65" s="169">
        <f>D61*D64*D63</f>
        <v>1825</v>
      </c>
    </row>
    <row r="66" spans="2:5" ht="14.4">
      <c r="B66" s="42"/>
      <c r="D66" s="167"/>
    </row>
    <row r="67" spans="2:5" ht="14.4">
      <c r="B67" s="135" t="s">
        <v>229</v>
      </c>
      <c r="C67" s="52"/>
      <c r="D67" s="167">
        <v>72000</v>
      </c>
    </row>
    <row r="68" spans="2:5" ht="14.4">
      <c r="B68" s="134"/>
      <c r="D68" s="168"/>
    </row>
    <row r="69" spans="2:5" ht="14.4">
      <c r="B69" s="136" t="s">
        <v>226</v>
      </c>
      <c r="C69" s="137"/>
      <c r="D69" s="138"/>
    </row>
    <row r="70" spans="2:5" ht="14.4">
      <c r="B70" s="112" t="s">
        <v>89</v>
      </c>
      <c r="C70" s="82"/>
      <c r="D70" s="139">
        <v>5</v>
      </c>
    </row>
    <row r="71" spans="2:5" ht="14.4">
      <c r="B71" s="42" t="s">
        <v>67</v>
      </c>
      <c r="D71" s="113">
        <v>365</v>
      </c>
    </row>
    <row r="72" spans="2:5" ht="14.4">
      <c r="B72" s="42"/>
      <c r="D72" s="113"/>
    </row>
    <row r="73" spans="2:5" ht="14.4">
      <c r="B73" s="42" t="s">
        <v>90</v>
      </c>
      <c r="C73" t="s">
        <v>91</v>
      </c>
      <c r="D73" s="113">
        <v>30</v>
      </c>
      <c r="E73" s="2"/>
    </row>
    <row r="74" spans="2:5" ht="14.4">
      <c r="B74" s="42" t="s">
        <v>92</v>
      </c>
      <c r="D74" s="125">
        <v>0.45</v>
      </c>
    </row>
    <row r="75" spans="2:5" ht="14.4">
      <c r="B75" s="42" t="s">
        <v>230</v>
      </c>
      <c r="D75" s="125">
        <v>0.6</v>
      </c>
    </row>
    <row r="76" spans="2:5" ht="14.4">
      <c r="B76" s="42" t="s">
        <v>231</v>
      </c>
      <c r="D76" s="125">
        <v>0.55000000000000004</v>
      </c>
    </row>
    <row r="77" spans="2:5" ht="14.4">
      <c r="B77" s="42" t="s">
        <v>232</v>
      </c>
      <c r="D77" s="125">
        <v>0.5</v>
      </c>
    </row>
    <row r="78" spans="2:5" ht="14.4">
      <c r="B78" s="42"/>
      <c r="D78" s="125"/>
    </row>
    <row r="79" spans="2:5" ht="14.4">
      <c r="B79" s="42" t="s">
        <v>93</v>
      </c>
      <c r="D79" s="140" t="s">
        <v>94</v>
      </c>
    </row>
    <row r="80" spans="2:5" ht="14.4">
      <c r="B80" s="42"/>
      <c r="D80" s="169">
        <f>D90*D79</f>
        <v>35260000</v>
      </c>
    </row>
    <row r="81" spans="2:10" ht="14.4">
      <c r="B81" s="42"/>
      <c r="D81" s="140"/>
    </row>
    <row r="82" spans="2:10" ht="14.4">
      <c r="B82" s="42" t="s">
        <v>95</v>
      </c>
      <c r="D82" s="125">
        <v>0.15</v>
      </c>
    </row>
    <row r="83" spans="2:10" ht="14.4">
      <c r="B83" s="42"/>
      <c r="D83" s="169">
        <f>D80*D82</f>
        <v>5289000</v>
      </c>
    </row>
    <row r="84" spans="2:10" ht="14.4">
      <c r="B84" s="42"/>
      <c r="D84" s="44"/>
    </row>
    <row r="85" spans="2:10" ht="14.4">
      <c r="B85" s="42" t="s">
        <v>79</v>
      </c>
      <c r="C85" t="s">
        <v>96</v>
      </c>
      <c r="D85" s="113">
        <v>350</v>
      </c>
    </row>
    <row r="86" spans="2:10" ht="14.4">
      <c r="B86" s="42" t="s">
        <v>81</v>
      </c>
      <c r="C86" t="s">
        <v>82</v>
      </c>
      <c r="D86" s="44">
        <f>D85/1000</f>
        <v>0.35</v>
      </c>
    </row>
    <row r="87" spans="2:10" ht="14.4">
      <c r="B87" s="134" t="s">
        <v>85</v>
      </c>
      <c r="D87" s="169">
        <f>D86*D71*D70</f>
        <v>638.74999999999989</v>
      </c>
    </row>
    <row r="88" spans="2:10" ht="15" customHeight="1">
      <c r="B88" s="42"/>
      <c r="D88" s="44"/>
    </row>
    <row r="89" spans="2:10" ht="15" customHeight="1">
      <c r="B89" s="42" t="s">
        <v>97</v>
      </c>
      <c r="C89" t="s">
        <v>98</v>
      </c>
      <c r="D89" s="113">
        <v>43</v>
      </c>
    </row>
    <row r="90" spans="2:10" ht="14.4">
      <c r="B90" s="42" t="s">
        <v>99</v>
      </c>
      <c r="D90" s="167">
        <v>43000000</v>
      </c>
    </row>
    <row r="91" spans="2:10" ht="14.4">
      <c r="B91" s="42"/>
      <c r="D91" s="113"/>
    </row>
    <row r="92" spans="2:10" ht="14.4">
      <c r="B92" s="42"/>
      <c r="D92" s="44"/>
      <c r="J92" s="81"/>
    </row>
    <row r="93" spans="2:10" ht="14.4">
      <c r="B93" s="80" t="s">
        <v>229</v>
      </c>
      <c r="C93" s="52"/>
      <c r="D93" s="170">
        <v>11000</v>
      </c>
    </row>
    <row r="94" spans="2:10" ht="14.4">
      <c r="D94" s="12"/>
    </row>
    <row r="95" spans="2:10" ht="14.4">
      <c r="B95" s="1"/>
      <c r="E95" s="11"/>
    </row>
    <row r="96" spans="2:10" ht="14.4"/>
    <row r="97" ht="14.4"/>
    <row r="98" ht="14.4"/>
    <row r="100" ht="14.4"/>
    <row r="101" ht="14.4"/>
    <row r="102" ht="14.4"/>
  </sheetData>
  <mergeCells count="1">
    <mergeCell ref="H32:H36"/>
  </mergeCells>
  <phoneticPr fontId="23" type="noConversion"/>
  <conditionalFormatting sqref="C18 C42:C44 D46:D50">
    <cfRule type="containsText" dxfId="9" priority="5" operator="containsText" text="TRUE">
      <formula>NOT(ISERROR(SEARCH("TRUE",C18)))</formula>
    </cfRule>
    <cfRule type="containsText" dxfId="8" priority="6" operator="containsText" text="FALSE">
      <formula>NOT(ISERROR(SEARCH("FALSE",C18)))</formula>
    </cfRule>
  </conditionalFormatting>
  <conditionalFormatting sqref="O33:O35">
    <cfRule type="containsText" dxfId="7" priority="3" operator="containsText" text="TRUE">
      <formula>NOT(ISERROR(SEARCH("TRUE",O33)))</formula>
    </cfRule>
    <cfRule type="containsText" dxfId="6" priority="4" operator="containsText" text="FALSE">
      <formula>NOT(ISERROR(SEARCH("FALSE",O33)))</formula>
    </cfRule>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448C1D-4767-4DE9-88E5-82A88F537B79}">
  <dimension ref="A3:P163"/>
  <sheetViews>
    <sheetView showGridLines="0" zoomScale="78" zoomScaleNormal="78" workbookViewId="0">
      <pane ySplit="10" topLeftCell="A52" activePane="bottomLeft" state="frozen"/>
      <selection pane="bottomLeft" activeCell="H76" sqref="H76"/>
    </sheetView>
  </sheetViews>
  <sheetFormatPr defaultColWidth="8.77734375" defaultRowHeight="15" customHeight="1"/>
  <cols>
    <col min="1" max="1" width="1.77734375" customWidth="1"/>
    <col min="2" max="2" width="25.109375" bestFit="1" customWidth="1"/>
    <col min="3" max="3" width="15.6640625" customWidth="1"/>
    <col min="4" max="4" width="15.6640625" bestFit="1" customWidth="1"/>
    <col min="5" max="5" width="10.33203125" bestFit="1" customWidth="1"/>
    <col min="6" max="9" width="16.109375" bestFit="1" customWidth="1"/>
    <col min="10" max="11" width="17.77734375" bestFit="1" customWidth="1"/>
    <col min="16384" max="16384" width="9.109375" bestFit="1" customWidth="1"/>
  </cols>
  <sheetData>
    <row r="3" spans="2:16" ht="14.4">
      <c r="B3" t="s">
        <v>233</v>
      </c>
      <c r="F3" s="14">
        <f>DATE(YEAR(Assumption!$C$9),4,1)</f>
        <v>45017</v>
      </c>
      <c r="G3" s="14">
        <f>F4+1</f>
        <v>45383</v>
      </c>
      <c r="H3" s="14">
        <f>G4+1</f>
        <v>45748</v>
      </c>
      <c r="I3" s="14">
        <f t="shared" ref="I3:K3" si="0">H4+1</f>
        <v>46113</v>
      </c>
      <c r="J3" s="14">
        <f t="shared" si="0"/>
        <v>46478</v>
      </c>
      <c r="K3" s="14">
        <f t="shared" si="0"/>
        <v>46844</v>
      </c>
      <c r="L3" s="6"/>
      <c r="M3" s="6"/>
      <c r="N3" s="6"/>
      <c r="O3" s="6"/>
      <c r="P3" s="6"/>
    </row>
    <row r="4" spans="2:16" ht="14.4">
      <c r="B4" t="s">
        <v>234</v>
      </c>
      <c r="F4" s="14">
        <f>EDATE(F3,12)-1</f>
        <v>45382</v>
      </c>
      <c r="G4" s="14">
        <f t="shared" ref="G4:K4" si="1">EDATE(G3,12)-1</f>
        <v>45747</v>
      </c>
      <c r="H4" s="14">
        <f t="shared" si="1"/>
        <v>46112</v>
      </c>
      <c r="I4" s="14">
        <f t="shared" si="1"/>
        <v>46477</v>
      </c>
      <c r="J4" s="14">
        <f t="shared" si="1"/>
        <v>46843</v>
      </c>
      <c r="K4" s="14">
        <f t="shared" si="1"/>
        <v>47208</v>
      </c>
      <c r="L4" s="6"/>
      <c r="M4" s="6"/>
      <c r="N4" s="6"/>
      <c r="O4" s="6"/>
      <c r="P4" s="6"/>
    </row>
    <row r="6" spans="2:16" ht="14.4">
      <c r="B6" t="s">
        <v>109</v>
      </c>
      <c r="F6" t="b">
        <f>AND(F4&gt;=Assumption!$C$11,Schedules!F3&lt;=Assumption!$C$11)</f>
        <v>1</v>
      </c>
      <c r="G6" t="b">
        <f>AND(G4&gt;=Assumption!$C$11,Schedules!G3&lt;=Assumption!$C$11)</f>
        <v>0</v>
      </c>
      <c r="H6" t="b">
        <f>AND(H4&gt;=Assumption!$C$11,Schedules!H3&lt;=Assumption!$C$11)</f>
        <v>0</v>
      </c>
      <c r="I6" t="b">
        <f>AND(I4&gt;=Assumption!$C$11,Schedules!I3&lt;=Assumption!$C$11)</f>
        <v>0</v>
      </c>
      <c r="J6" t="b">
        <f>AND(J4&gt;=Assumption!$C$11,Schedules!J3&lt;=Assumption!$C$11)</f>
        <v>0</v>
      </c>
      <c r="K6" t="b">
        <f>AND(K4&gt;=Assumption!$C$11,Schedules!K3&lt;=Assumption!$C$11)</f>
        <v>0</v>
      </c>
    </row>
    <row r="7" spans="2:16" ht="14.4">
      <c r="B7" t="s">
        <v>110</v>
      </c>
      <c r="F7" t="b">
        <f>F4&gt;=Assumption!$C$11</f>
        <v>1</v>
      </c>
      <c r="G7" t="b">
        <f>G4&gt;=Assumption!$C$11</f>
        <v>1</v>
      </c>
      <c r="H7" t="b">
        <f>H4&gt;=Assumption!$C$11</f>
        <v>1</v>
      </c>
      <c r="I7" t="b">
        <f>I4&gt;=Assumption!$C$11</f>
        <v>1</v>
      </c>
      <c r="J7" t="b">
        <f>J4&gt;=Assumption!$C$11</f>
        <v>1</v>
      </c>
      <c r="K7" t="b">
        <f>K4&gt;=Assumption!$C$11</f>
        <v>1</v>
      </c>
    </row>
    <row r="8" spans="2:16" ht="14.4">
      <c r="B8" t="s">
        <v>235</v>
      </c>
      <c r="F8">
        <f t="shared" ref="F8:K8" si="2">F4-F3+1</f>
        <v>366</v>
      </c>
      <c r="G8">
        <f t="shared" si="2"/>
        <v>365</v>
      </c>
      <c r="H8">
        <f t="shared" si="2"/>
        <v>365</v>
      </c>
      <c r="I8">
        <f t="shared" si="2"/>
        <v>365</v>
      </c>
      <c r="J8">
        <f t="shared" si="2"/>
        <v>366</v>
      </c>
      <c r="K8">
        <f t="shared" si="2"/>
        <v>365</v>
      </c>
    </row>
    <row r="9" spans="2:16" ht="14.4">
      <c r="B9" t="s">
        <v>236</v>
      </c>
      <c r="F9">
        <f>MIN(F4-Assumption!$C$11+1,Schedules!F8)*Schedules!F7</f>
        <v>366</v>
      </c>
      <c r="G9">
        <f>MIN(G4-Assumption!$C$11+1,Schedules!G8)*Schedules!G7</f>
        <v>365</v>
      </c>
      <c r="H9">
        <f>MIN(H4-Assumption!$C$11+1,Schedules!H8)*Schedules!H7</f>
        <v>365</v>
      </c>
      <c r="I9">
        <f>MIN(I4-Assumption!$C$11+1,Schedules!I8)*Schedules!I7</f>
        <v>365</v>
      </c>
      <c r="J9">
        <f>MIN(J4-Assumption!$C$11+1,Schedules!J8)*Schedules!J7</f>
        <v>366</v>
      </c>
      <c r="K9">
        <f>MIN(K4-Assumption!$C$11+1,Schedules!K8)*Schedules!K7</f>
        <v>365</v>
      </c>
    </row>
    <row r="10" spans="2:16" ht="14.4">
      <c r="B10" t="s">
        <v>111</v>
      </c>
      <c r="F10">
        <f>C10+F7</f>
        <v>1</v>
      </c>
      <c r="G10">
        <f>F10+G7</f>
        <v>2</v>
      </c>
      <c r="H10">
        <f>G10+H7</f>
        <v>3</v>
      </c>
      <c r="I10">
        <f>H10+I7</f>
        <v>4</v>
      </c>
      <c r="J10">
        <f>I10+J7</f>
        <v>5</v>
      </c>
      <c r="K10">
        <f>J10+K7</f>
        <v>6</v>
      </c>
    </row>
    <row r="12" spans="2:16" ht="14.4">
      <c r="B12" s="93" t="s">
        <v>112</v>
      </c>
      <c r="C12" s="90"/>
      <c r="D12" s="91"/>
      <c r="E12" s="91"/>
      <c r="F12" s="91"/>
      <c r="G12" s="91"/>
      <c r="H12" s="91"/>
      <c r="I12" s="91"/>
      <c r="J12" s="91"/>
      <c r="K12" s="104"/>
    </row>
    <row r="13" spans="2:16" ht="14.4">
      <c r="B13" s="98" t="s">
        <v>70</v>
      </c>
      <c r="K13" s="44"/>
    </row>
    <row r="14" spans="2:16" ht="14.4">
      <c r="B14" s="134" t="s">
        <v>86</v>
      </c>
      <c r="F14" s="55">
        <f>Assumption!D58/Assumption!D65</f>
        <v>3184.9315068493156</v>
      </c>
      <c r="G14" s="64">
        <f>G16/G15</f>
        <v>4398.2387475538171</v>
      </c>
      <c r="H14" s="64">
        <f>H16/H15</f>
        <v>6073.7582704314618</v>
      </c>
      <c r="I14" s="64">
        <f>I16/I15</f>
        <v>8387.5709448815414</v>
      </c>
      <c r="J14" s="64">
        <f>J16/J15</f>
        <v>11582.836066741178</v>
      </c>
      <c r="K14" s="142">
        <f>K16/K15</f>
        <v>15995.345044547343</v>
      </c>
    </row>
    <row r="15" spans="2:16" ht="14.4">
      <c r="B15" s="134" t="s">
        <v>87</v>
      </c>
      <c r="F15" s="55">
        <f>Assumption!D67</f>
        <v>72000</v>
      </c>
      <c r="G15" s="64">
        <f>(F15*Assumption!$C$29)+F15</f>
        <v>75600</v>
      </c>
      <c r="H15" s="64">
        <f>G15*Assumption!$C$29+G15</f>
        <v>79380</v>
      </c>
      <c r="I15" s="64">
        <f>H15*Assumption!$C$29+H15</f>
        <v>83349</v>
      </c>
      <c r="J15" s="64">
        <f>I15*Assumption!$C$29+I15</f>
        <v>87516.45</v>
      </c>
      <c r="K15" s="142">
        <f>J15*Assumption!$C$29+J15</f>
        <v>91892.272499999992</v>
      </c>
    </row>
    <row r="16" spans="2:16" ht="14.4">
      <c r="B16" s="134" t="s">
        <v>69</v>
      </c>
      <c r="F16" s="57">
        <f>F14*Assumption!D67</f>
        <v>229315068.49315071</v>
      </c>
      <c r="G16" s="65">
        <f>F16*Assumption!$D$74+F16</f>
        <v>332506849.31506854</v>
      </c>
      <c r="H16" s="65">
        <f>G16*Assumption!$D$74+G16</f>
        <v>482134931.50684941</v>
      </c>
      <c r="I16" s="65">
        <f>H16*Assumption!$D$74+H16</f>
        <v>699095650.68493164</v>
      </c>
      <c r="J16" s="65">
        <f>I16*Assumption!$D$74+I16</f>
        <v>1013688693.4931509</v>
      </c>
      <c r="K16" s="143">
        <f>J16*Assumption!$D$74+J16</f>
        <v>1469848605.565069</v>
      </c>
    </row>
    <row r="17" spans="2:11" ht="14.4">
      <c r="B17" s="42"/>
      <c r="F17" s="55"/>
      <c r="G17" s="64"/>
      <c r="H17" s="64"/>
      <c r="I17" s="64"/>
      <c r="J17" s="64"/>
      <c r="K17" s="142"/>
    </row>
    <row r="18" spans="2:11" ht="14.4">
      <c r="B18" s="98" t="s">
        <v>226</v>
      </c>
      <c r="F18" s="55"/>
      <c r="G18" s="64"/>
      <c r="H18" s="64"/>
      <c r="I18" s="64"/>
      <c r="J18" s="64"/>
      <c r="K18" s="142"/>
    </row>
    <row r="19" spans="2:11" ht="14.4">
      <c r="B19" s="134" t="s">
        <v>100</v>
      </c>
      <c r="F19" s="55">
        <f>Assumption!D83*1%</f>
        <v>52890</v>
      </c>
      <c r="G19" s="64">
        <f>F19*Assumption!$D$75+F19</f>
        <v>84624</v>
      </c>
      <c r="H19" s="64">
        <f>G19*Assumption!$D$75+G19</f>
        <v>135398.39999999999</v>
      </c>
      <c r="I19" s="64">
        <f>H19*Assumption!$D$75+H19</f>
        <v>216637.44</v>
      </c>
      <c r="J19" s="64">
        <f>I19*Assumption!D76+I19</f>
        <v>335788.03200000001</v>
      </c>
      <c r="K19" s="142">
        <f>J19*Assumption!D77+J19</f>
        <v>503682.04800000001</v>
      </c>
    </row>
    <row r="20" spans="2:11" ht="14.4">
      <c r="B20" s="42" t="s">
        <v>87</v>
      </c>
      <c r="F20" s="55">
        <f>Assumption!D93</f>
        <v>11000</v>
      </c>
      <c r="G20" s="64">
        <f>F20*Assumption!$C$30+F20</f>
        <v>11275</v>
      </c>
      <c r="H20" s="64">
        <f>G20*Assumption!$C$30+G20</f>
        <v>11556.875</v>
      </c>
      <c r="I20" s="64">
        <f>H20*Assumption!$C$30+H20</f>
        <v>11845.796875</v>
      </c>
      <c r="J20" s="64">
        <f>I20*Assumption!$C$30+I20</f>
        <v>12141.941796875</v>
      </c>
      <c r="K20" s="142">
        <f>J20*Assumption!$C$30+J20</f>
        <v>12445.490341796876</v>
      </c>
    </row>
    <row r="21" spans="2:11" ht="14.4">
      <c r="B21" s="134" t="s">
        <v>101</v>
      </c>
      <c r="F21" s="55">
        <f>F19/Assumption!$D$87</f>
        <v>82.802348336594932</v>
      </c>
      <c r="G21" s="64">
        <f>G19/Assumption!$D$87</f>
        <v>132.4837573385519</v>
      </c>
      <c r="H21" s="64">
        <f>H19/Assumption!$D$87</f>
        <v>211.974011741683</v>
      </c>
      <c r="I21" s="64">
        <f>I19/Assumption!$D$87</f>
        <v>339.15841878669283</v>
      </c>
      <c r="J21" s="64">
        <f>J19/Assumption!$D$87</f>
        <v>525.69554911937394</v>
      </c>
      <c r="K21" s="142">
        <f>K19/Assumption!$D$87</f>
        <v>788.54332367906079</v>
      </c>
    </row>
    <row r="22" spans="2:11" ht="15" customHeight="1">
      <c r="B22" s="134" t="s">
        <v>69</v>
      </c>
      <c r="F22" s="57">
        <f t="shared" ref="F22:K22" si="3">F21*F20</f>
        <v>910825.83170254424</v>
      </c>
      <c r="G22" s="65">
        <f t="shared" si="3"/>
        <v>1493754.3639921725</v>
      </c>
      <c r="H22" s="65">
        <f t="shared" si="3"/>
        <v>2449757.1569471629</v>
      </c>
      <c r="I22" s="65">
        <f t="shared" si="3"/>
        <v>4017601.7373933471</v>
      </c>
      <c r="J22" s="65">
        <f t="shared" si="3"/>
        <v>6382964.7602836816</v>
      </c>
      <c r="K22" s="143">
        <f t="shared" si="3"/>
        <v>9813808.3189361598</v>
      </c>
    </row>
    <row r="23" spans="2:11" ht="15" customHeight="1">
      <c r="B23" s="134"/>
      <c r="F23" s="55"/>
      <c r="G23" s="64"/>
      <c r="H23" s="64"/>
      <c r="I23" s="64"/>
      <c r="J23" s="64"/>
      <c r="K23" s="142"/>
    </row>
    <row r="24" spans="2:11" ht="15" customHeight="1">
      <c r="B24" s="141" t="s">
        <v>88</v>
      </c>
      <c r="C24" s="52"/>
      <c r="D24" s="52"/>
      <c r="E24" s="52"/>
      <c r="F24" s="58">
        <f>F22+F16</f>
        <v>230225894.32485324</v>
      </c>
      <c r="G24" s="144">
        <f t="shared" ref="G24:K24" si="4">G22+G16</f>
        <v>334000603.6790607</v>
      </c>
      <c r="H24" s="144">
        <f t="shared" si="4"/>
        <v>484584688.66379654</v>
      </c>
      <c r="I24" s="144">
        <f t="shared" si="4"/>
        <v>703113252.42232502</v>
      </c>
      <c r="J24" s="144">
        <f t="shared" si="4"/>
        <v>1020071658.2534347</v>
      </c>
      <c r="K24" s="145">
        <f t="shared" si="4"/>
        <v>1479662413.8840051</v>
      </c>
    </row>
    <row r="25" spans="2:11" ht="15" customHeight="1">
      <c r="B25" s="19"/>
      <c r="G25" s="73"/>
      <c r="H25" s="73"/>
      <c r="I25" s="73"/>
      <c r="J25" s="73"/>
      <c r="K25" s="73"/>
    </row>
    <row r="26" spans="2:11" ht="15" customHeight="1">
      <c r="B26" s="133" t="s">
        <v>242</v>
      </c>
      <c r="C26" s="132"/>
      <c r="D26" s="132"/>
      <c r="E26" s="132"/>
      <c r="F26" s="132"/>
      <c r="G26" s="146"/>
      <c r="H26" s="146"/>
      <c r="I26" s="146"/>
      <c r="J26" s="146"/>
      <c r="K26" s="147"/>
    </row>
    <row r="27" spans="2:11" ht="15" customHeight="1">
      <c r="B27" s="98" t="s">
        <v>70</v>
      </c>
      <c r="C27" s="2"/>
      <c r="G27" s="73"/>
      <c r="H27" s="73"/>
      <c r="I27" s="73"/>
      <c r="J27" s="73"/>
      <c r="K27" s="148"/>
    </row>
    <row r="28" spans="2:11" ht="15" customHeight="1">
      <c r="B28" s="42" t="s">
        <v>102</v>
      </c>
      <c r="C28" s="2"/>
      <c r="F28" s="55">
        <f>Schedules!F14</f>
        <v>3184.9315068493156</v>
      </c>
      <c r="G28" s="64">
        <f>Schedules!G14</f>
        <v>4398.2387475538171</v>
      </c>
      <c r="H28" s="64">
        <f>Schedules!H14</f>
        <v>6073.7582704314618</v>
      </c>
      <c r="I28" s="64">
        <f>Schedules!I14</f>
        <v>8387.5709448815414</v>
      </c>
      <c r="J28" s="64">
        <f>Schedules!J14</f>
        <v>11582.836066741178</v>
      </c>
      <c r="K28" s="142">
        <f>Schedules!K14</f>
        <v>15995.345044547343</v>
      </c>
    </row>
    <row r="29" spans="2:11" ht="15" customHeight="1">
      <c r="B29" s="42" t="s">
        <v>62</v>
      </c>
      <c r="F29" s="55">
        <f>F28*Assumption!$D$46</f>
        <v>254.79452054794527</v>
      </c>
      <c r="G29" s="64">
        <f>G28*Assumption!$D$46</f>
        <v>351.8590998043054</v>
      </c>
      <c r="H29" s="64">
        <f>H28*Assumption!$D$46</f>
        <v>485.90066163451695</v>
      </c>
      <c r="I29" s="64">
        <f>I28*Assumption!$D$46</f>
        <v>671.00567559052331</v>
      </c>
      <c r="J29" s="64">
        <f>J28*Assumption!$D$46</f>
        <v>926.62688533929429</v>
      </c>
      <c r="K29" s="142">
        <f>K28*Assumption!$D$46</f>
        <v>1279.6276035637875</v>
      </c>
    </row>
    <row r="30" spans="2:11" ht="15" customHeight="1">
      <c r="B30" s="42" t="s">
        <v>104</v>
      </c>
      <c r="F30" s="55">
        <f t="shared" ref="F30:K30" si="5">F29+F28</f>
        <v>3439.7260273972611</v>
      </c>
      <c r="G30" s="64">
        <f t="shared" si="5"/>
        <v>4750.0978473581226</v>
      </c>
      <c r="H30" s="64">
        <f t="shared" si="5"/>
        <v>6559.6589320659787</v>
      </c>
      <c r="I30" s="64">
        <f t="shared" si="5"/>
        <v>9058.576620472064</v>
      </c>
      <c r="J30" s="64">
        <f t="shared" si="5"/>
        <v>12509.462952080472</v>
      </c>
      <c r="K30" s="142">
        <f t="shared" si="5"/>
        <v>17274.972648111128</v>
      </c>
    </row>
    <row r="31" spans="2:11" ht="15" customHeight="1">
      <c r="B31" s="42" t="s">
        <v>103</v>
      </c>
      <c r="F31" s="55">
        <v>38500</v>
      </c>
      <c r="G31" s="64">
        <f>F31</f>
        <v>38500</v>
      </c>
      <c r="H31" s="64">
        <f>G31</f>
        <v>38500</v>
      </c>
      <c r="I31" s="64">
        <f>H31</f>
        <v>38500</v>
      </c>
      <c r="J31" s="64">
        <f>I31</f>
        <v>38500</v>
      </c>
      <c r="K31" s="142">
        <f>J31</f>
        <v>38500</v>
      </c>
    </row>
    <row r="32" spans="2:11" ht="15" customHeight="1">
      <c r="B32" s="42" t="s">
        <v>105</v>
      </c>
      <c r="F32" s="55">
        <f t="shared" ref="F32:K32" si="6">F31*F30</f>
        <v>132429452.05479455</v>
      </c>
      <c r="G32" s="64">
        <f t="shared" si="6"/>
        <v>182878767.12328771</v>
      </c>
      <c r="H32" s="64">
        <f t="shared" si="6"/>
        <v>252546868.88454017</v>
      </c>
      <c r="I32" s="64">
        <f t="shared" si="6"/>
        <v>348755199.88817447</v>
      </c>
      <c r="J32" s="64">
        <f t="shared" si="6"/>
        <v>481614323.6550982</v>
      </c>
      <c r="K32" s="142">
        <f t="shared" si="6"/>
        <v>665086446.95227849</v>
      </c>
    </row>
    <row r="33" spans="2:11" ht="15" customHeight="1">
      <c r="B33" s="42" t="s">
        <v>106</v>
      </c>
      <c r="F33" s="55">
        <f t="shared" ref="F33:K33" si="7">F29*F31</f>
        <v>9809589.041095892</v>
      </c>
      <c r="G33" s="64">
        <f t="shared" si="7"/>
        <v>13546575.342465758</v>
      </c>
      <c r="H33" s="64">
        <f t="shared" si="7"/>
        <v>18707175.472928904</v>
      </c>
      <c r="I33" s="64">
        <f t="shared" si="7"/>
        <v>25833718.510235146</v>
      </c>
      <c r="J33" s="64">
        <f t="shared" si="7"/>
        <v>35675135.085562833</v>
      </c>
      <c r="K33" s="142">
        <f t="shared" si="7"/>
        <v>49265662.737205818</v>
      </c>
    </row>
    <row r="34" spans="2:11" ht="15" customHeight="1">
      <c r="B34" s="42"/>
      <c r="F34" s="55"/>
      <c r="G34" s="64"/>
      <c r="H34" s="64"/>
      <c r="I34" s="64"/>
      <c r="J34" s="64"/>
      <c r="K34" s="142"/>
    </row>
    <row r="35" spans="2:11" ht="15" customHeight="1">
      <c r="B35" s="98" t="s">
        <v>226</v>
      </c>
      <c r="F35" s="55"/>
      <c r="G35" s="64"/>
      <c r="H35" s="64"/>
      <c r="I35" s="64"/>
      <c r="J35" s="64"/>
      <c r="K35" s="142"/>
    </row>
    <row r="36" spans="2:11" ht="15" customHeight="1">
      <c r="B36" s="42" t="s">
        <v>102</v>
      </c>
      <c r="F36" s="55">
        <f>Schedules!F21</f>
        <v>82.802348336594932</v>
      </c>
      <c r="G36" s="64">
        <f>Schedules!G21</f>
        <v>132.4837573385519</v>
      </c>
      <c r="H36" s="64">
        <f>Schedules!H21</f>
        <v>211.974011741683</v>
      </c>
      <c r="I36" s="64">
        <f>Schedules!I21</f>
        <v>339.15841878669283</v>
      </c>
      <c r="J36" s="64">
        <f>Schedules!J21</f>
        <v>525.69554911937394</v>
      </c>
      <c r="K36" s="142">
        <f>Schedules!K21</f>
        <v>788.54332367906079</v>
      </c>
    </row>
    <row r="37" spans="2:11" ht="15" customHeight="1">
      <c r="B37" s="42" t="s">
        <v>62</v>
      </c>
      <c r="F37" s="55">
        <f>F36*Assumption!$D$47</f>
        <v>12.420352250489239</v>
      </c>
      <c r="G37" s="64">
        <f>G36*Assumption!$D$47</f>
        <v>19.872563600782783</v>
      </c>
      <c r="H37" s="64">
        <f>H36*Assumption!$D$47</f>
        <v>31.796101761252448</v>
      </c>
      <c r="I37" s="64">
        <f>I36*Assumption!$D$47</f>
        <v>50.873762818003925</v>
      </c>
      <c r="J37" s="64">
        <f>J36*Assumption!$D$47</f>
        <v>78.854332367906082</v>
      </c>
      <c r="K37" s="142">
        <f>K36*Assumption!$D$47</f>
        <v>118.28149855185912</v>
      </c>
    </row>
    <row r="38" spans="2:11" ht="15" customHeight="1">
      <c r="B38" s="42" t="s">
        <v>104</v>
      </c>
      <c r="F38" s="55">
        <f t="shared" ref="F38:K38" si="8">F36+F37</f>
        <v>95.222700587084177</v>
      </c>
      <c r="G38" s="64">
        <f t="shared" si="8"/>
        <v>152.35632093933469</v>
      </c>
      <c r="H38" s="64">
        <f t="shared" si="8"/>
        <v>243.77011350293546</v>
      </c>
      <c r="I38" s="64">
        <f t="shared" si="8"/>
        <v>390.03218160469675</v>
      </c>
      <c r="J38" s="64">
        <f t="shared" si="8"/>
        <v>604.54988148728</v>
      </c>
      <c r="K38" s="142">
        <f t="shared" si="8"/>
        <v>906.82482223091995</v>
      </c>
    </row>
    <row r="39" spans="2:11" ht="15" customHeight="1">
      <c r="B39" s="42" t="s">
        <v>103</v>
      </c>
      <c r="F39" s="55">
        <v>6050</v>
      </c>
      <c r="G39" s="64">
        <f>F39</f>
        <v>6050</v>
      </c>
      <c r="H39" s="64">
        <f>G39</f>
        <v>6050</v>
      </c>
      <c r="I39" s="64">
        <f>H39</f>
        <v>6050</v>
      </c>
      <c r="J39" s="64">
        <f>I39</f>
        <v>6050</v>
      </c>
      <c r="K39" s="142">
        <f>J39</f>
        <v>6050</v>
      </c>
    </row>
    <row r="40" spans="2:11" ht="15" customHeight="1">
      <c r="B40" s="42" t="s">
        <v>105</v>
      </c>
      <c r="F40" s="55">
        <f t="shared" ref="F40:K40" si="9">F39*F38</f>
        <v>576097.33855185925</v>
      </c>
      <c r="G40" s="64">
        <f t="shared" si="9"/>
        <v>921755.74168297485</v>
      </c>
      <c r="H40" s="64">
        <f t="shared" si="9"/>
        <v>1474809.1866927596</v>
      </c>
      <c r="I40" s="64">
        <f t="shared" si="9"/>
        <v>2359694.6987084155</v>
      </c>
      <c r="J40" s="64">
        <f t="shared" si="9"/>
        <v>3657526.782998044</v>
      </c>
      <c r="K40" s="142">
        <f t="shared" si="9"/>
        <v>5486290.1744970661</v>
      </c>
    </row>
    <row r="41" spans="2:11" ht="15" customHeight="1">
      <c r="B41" s="42" t="s">
        <v>106</v>
      </c>
      <c r="F41" s="55">
        <f t="shared" ref="F41:K41" si="10">F37*F39</f>
        <v>75143.131115459895</v>
      </c>
      <c r="G41" s="64">
        <f t="shared" si="10"/>
        <v>120229.00978473584</v>
      </c>
      <c r="H41" s="64">
        <f t="shared" si="10"/>
        <v>192366.41565557732</v>
      </c>
      <c r="I41" s="64">
        <f t="shared" si="10"/>
        <v>307786.26504892373</v>
      </c>
      <c r="J41" s="64">
        <f t="shared" si="10"/>
        <v>477068.7108258318</v>
      </c>
      <c r="K41" s="142">
        <f t="shared" si="10"/>
        <v>715603.06623874768</v>
      </c>
    </row>
    <row r="42" spans="2:11" ht="15" customHeight="1">
      <c r="B42" s="42"/>
      <c r="F42" s="55"/>
      <c r="G42" s="64"/>
      <c r="H42" s="64"/>
      <c r="I42" s="64"/>
      <c r="J42" s="64"/>
      <c r="K42" s="142"/>
    </row>
    <row r="43" spans="2:11" ht="15" customHeight="1">
      <c r="B43" s="45" t="s">
        <v>107</v>
      </c>
      <c r="C43" s="1"/>
      <c r="D43" s="1"/>
      <c r="E43" s="1"/>
      <c r="F43" s="57">
        <f t="shared" ref="F43:K44" si="11">F40+F32</f>
        <v>133005549.39334641</v>
      </c>
      <c r="G43" s="65">
        <f t="shared" si="11"/>
        <v>183800522.86497068</v>
      </c>
      <c r="H43" s="65">
        <f t="shared" si="11"/>
        <v>254021678.07123294</v>
      </c>
      <c r="I43" s="65">
        <f t="shared" si="11"/>
        <v>351114894.58688289</v>
      </c>
      <c r="J43" s="65">
        <f t="shared" si="11"/>
        <v>485271850.43809623</v>
      </c>
      <c r="K43" s="143">
        <f t="shared" si="11"/>
        <v>670572737.1267755</v>
      </c>
    </row>
    <row r="44" spans="2:11" ht="15" customHeight="1">
      <c r="B44" s="51" t="s">
        <v>108</v>
      </c>
      <c r="C44" s="83"/>
      <c r="D44" s="83"/>
      <c r="E44" s="83"/>
      <c r="F44" s="58">
        <f t="shared" si="11"/>
        <v>9884732.1722113527</v>
      </c>
      <c r="G44" s="144">
        <f t="shared" si="11"/>
        <v>13666804.352250494</v>
      </c>
      <c r="H44" s="144">
        <f t="shared" si="11"/>
        <v>18899541.88858448</v>
      </c>
      <c r="I44" s="144">
        <f t="shared" si="11"/>
        <v>26141504.775284071</v>
      </c>
      <c r="J44" s="144">
        <f t="shared" si="11"/>
        <v>36152203.796388663</v>
      </c>
      <c r="K44" s="145">
        <f t="shared" si="11"/>
        <v>49981265.803444564</v>
      </c>
    </row>
    <row r="45" spans="2:11" ht="15" customHeight="1">
      <c r="B45" s="19"/>
      <c r="G45" s="73"/>
      <c r="H45" s="73"/>
      <c r="I45" s="73"/>
      <c r="J45" s="73"/>
      <c r="K45" s="73"/>
    </row>
    <row r="46" spans="2:11" ht="14.4">
      <c r="B46" s="89" t="s">
        <v>241</v>
      </c>
      <c r="C46" s="90"/>
      <c r="D46" s="91"/>
      <c r="E46" s="91"/>
      <c r="F46" s="91"/>
      <c r="G46" s="149"/>
      <c r="H46" s="149"/>
      <c r="I46" s="149"/>
      <c r="J46" s="149"/>
      <c r="K46" s="150"/>
    </row>
    <row r="47" spans="2:11" ht="14.4">
      <c r="B47" s="42" t="s">
        <v>27</v>
      </c>
      <c r="F47" s="55">
        <f>Assumption!$C$14*Schedules!F$43</f>
        <v>66502774.696673207</v>
      </c>
      <c r="G47" s="64">
        <f>Assumption!$C$14*Schedules!G$43</f>
        <v>91900261.432485342</v>
      </c>
      <c r="H47" s="64">
        <f>Assumption!$C$14*Schedules!H$43</f>
        <v>127010839.03561647</v>
      </c>
      <c r="I47" s="64">
        <f>Assumption!$C$14*Schedules!I$43</f>
        <v>175557447.29344144</v>
      </c>
      <c r="J47" s="64">
        <f>Assumption!$C$14*Schedules!J$43</f>
        <v>242635925.21904811</v>
      </c>
      <c r="K47" s="142">
        <f>Assumption!$C$14*Schedules!K$43</f>
        <v>335286368.56338775</v>
      </c>
    </row>
    <row r="48" spans="2:11" ht="14.4">
      <c r="B48" s="42" t="s">
        <v>28</v>
      </c>
      <c r="F48" s="55">
        <f>Assumption!$C$15*Schedules!F$43</f>
        <v>33251387.348336603</v>
      </c>
      <c r="G48" s="64">
        <f>Assumption!$C$15*Schedules!G$43</f>
        <v>45950130.716242671</v>
      </c>
      <c r="H48" s="64">
        <f>Assumption!$C$15*Schedules!H$43</f>
        <v>63505419.517808236</v>
      </c>
      <c r="I48" s="64">
        <f>Assumption!$C$15*Schedules!I$43</f>
        <v>87778723.646720722</v>
      </c>
      <c r="J48" s="64">
        <f>Assumption!$C$15*Schedules!J$43</f>
        <v>121317962.60952406</v>
      </c>
      <c r="K48" s="142">
        <f>Assumption!$C$15*Schedules!K$43</f>
        <v>167643184.28169388</v>
      </c>
    </row>
    <row r="49" spans="2:11" ht="14.4">
      <c r="B49" s="42" t="s">
        <v>29</v>
      </c>
      <c r="F49" s="55">
        <f>Assumption!$C$16*Schedules!F$43</f>
        <v>2660110.9878669283</v>
      </c>
      <c r="G49" s="64">
        <f>Assumption!$C$16*Schedules!G$43</f>
        <v>3676010.4572994136</v>
      </c>
      <c r="H49" s="64">
        <f>Assumption!$C$16*Schedules!H$43</f>
        <v>5080433.5614246586</v>
      </c>
      <c r="I49" s="64">
        <f>Assumption!$C$16*Schedules!I$43</f>
        <v>7022297.8917376576</v>
      </c>
      <c r="J49" s="64">
        <f>Assumption!$C$16*Schedules!J$43</f>
        <v>9705437.0087619256</v>
      </c>
      <c r="K49" s="142">
        <f>Assumption!$C$16*Schedules!K$43</f>
        <v>13411454.742535511</v>
      </c>
    </row>
    <row r="50" spans="2:11" ht="14.4">
      <c r="B50" s="42" t="s">
        <v>30</v>
      </c>
      <c r="F50" s="55">
        <f>Assumption!$C$17*Schedules!F$43</f>
        <v>30591276.360469677</v>
      </c>
      <c r="G50" s="64">
        <f>Assumption!$C$17*Schedules!G$43</f>
        <v>42274120.25894326</v>
      </c>
      <c r="H50" s="64">
        <f>Assumption!$C$17*Schedules!H$43</f>
        <v>58424985.956383578</v>
      </c>
      <c r="I50" s="64">
        <f>Assumption!$C$17*Schedules!I$43</f>
        <v>80756425.754983068</v>
      </c>
      <c r="J50" s="64">
        <f>Assumption!$C$17*Schedules!J$43</f>
        <v>111612525.60076214</v>
      </c>
      <c r="K50" s="142">
        <f>Assumption!$C$17*Schedules!K$43</f>
        <v>154231729.53915837</v>
      </c>
    </row>
    <row r="51" spans="2:11" ht="15" customHeight="1">
      <c r="B51" s="80"/>
      <c r="C51" s="52"/>
      <c r="D51" s="52"/>
      <c r="E51" s="52"/>
      <c r="F51" s="58">
        <f t="shared" ref="F51:K51" si="12">SUM(F47:F50)</f>
        <v>133005549.3933464</v>
      </c>
      <c r="G51" s="144">
        <f t="shared" si="12"/>
        <v>183800522.86497068</v>
      </c>
      <c r="H51" s="144">
        <f t="shared" si="12"/>
        <v>254021678.07123297</v>
      </c>
      <c r="I51" s="144">
        <f t="shared" si="12"/>
        <v>351114894.58688289</v>
      </c>
      <c r="J51" s="144">
        <f t="shared" si="12"/>
        <v>485271850.43809623</v>
      </c>
      <c r="K51" s="145">
        <f t="shared" si="12"/>
        <v>670572737.1267755</v>
      </c>
    </row>
    <row r="52" spans="2:11" ht="15" customHeight="1">
      <c r="F52" s="55"/>
      <c r="G52" s="64"/>
      <c r="H52" s="64"/>
      <c r="I52" s="64"/>
      <c r="J52" s="64"/>
      <c r="K52" s="64"/>
    </row>
    <row r="53" spans="2:11" ht="14.4">
      <c r="B53" s="93" t="s">
        <v>113</v>
      </c>
      <c r="C53" s="90"/>
      <c r="D53" s="91"/>
      <c r="E53" s="91"/>
      <c r="F53" s="92"/>
      <c r="G53" s="151"/>
      <c r="H53" s="151"/>
      <c r="I53" s="151"/>
      <c r="J53" s="151"/>
      <c r="K53" s="152"/>
    </row>
    <row r="54" spans="2:11" ht="14.4">
      <c r="B54" s="42" t="s">
        <v>33</v>
      </c>
      <c r="E54" s="2"/>
      <c r="F54" s="55">
        <f>Assumption!$C$21*'Income Statement'!D5</f>
        <v>13813553.659491194</v>
      </c>
      <c r="G54" s="64">
        <f>Assumption!$C$21*'Income Statement'!E5</f>
        <v>20040036.220743641</v>
      </c>
      <c r="H54" s="64">
        <f>Assumption!$C$21*'Income Statement'!F5</f>
        <v>29075081.319827791</v>
      </c>
      <c r="I54" s="64">
        <f>Assumption!$C$21*'Income Statement'!G5</f>
        <v>42186795.145339496</v>
      </c>
      <c r="J54" s="64">
        <f>Assumption!$C$21*'Income Statement'!H5</f>
        <v>61204299.49520608</v>
      </c>
      <c r="K54" s="142">
        <f>Assumption!$C$21*'Income Statement'!I5</f>
        <v>88779744.833040297</v>
      </c>
    </row>
    <row r="55" spans="2:11" ht="14.4">
      <c r="B55" s="42" t="s">
        <v>34</v>
      </c>
      <c r="E55" s="2"/>
      <c r="F55" s="55">
        <f>Assumption!$C$22*'Income Statement'!D5</f>
        <v>4604517.8864970645</v>
      </c>
      <c r="G55" s="64">
        <f>Assumption!$C$22*'Income Statement'!E5</f>
        <v>6680012.0735812141</v>
      </c>
      <c r="H55" s="64">
        <f>Assumption!$C$22*'Income Statement'!F5</f>
        <v>9691693.7732759304</v>
      </c>
      <c r="I55" s="64">
        <f>Assumption!$C$22*'Income Statement'!G5</f>
        <v>14062265.048446501</v>
      </c>
      <c r="J55" s="64">
        <f>Assumption!$C$22*'Income Statement'!H5</f>
        <v>20401433.165068693</v>
      </c>
      <c r="K55" s="142">
        <f>Assumption!$C$22*'Income Statement'!I5</f>
        <v>29593248.277680103</v>
      </c>
    </row>
    <row r="56" spans="2:11" ht="14.4">
      <c r="B56" s="42" t="s">
        <v>35</v>
      </c>
      <c r="E56" s="2"/>
      <c r="F56" s="55">
        <f>Assumption!$C$23*'Income Statement'!D5</f>
        <v>80579063.013698623</v>
      </c>
      <c r="G56" s="64">
        <f>Assumption!$C$23*'Income Statement'!E5</f>
        <v>116900211.28767124</v>
      </c>
      <c r="H56" s="64">
        <f>Assumption!$C$23*'Income Statement'!F5</f>
        <v>169604641.03232878</v>
      </c>
      <c r="I56" s="64">
        <f>Assumption!$C$23*'Income Statement'!G5</f>
        <v>246089638.34781373</v>
      </c>
      <c r="J56" s="64">
        <f>Assumption!$C$23*'Income Statement'!H5</f>
        <v>357025080.38870209</v>
      </c>
      <c r="K56" s="142">
        <f>Assumption!$C$23*'Income Statement'!I5</f>
        <v>517881844.85940176</v>
      </c>
    </row>
    <row r="57" spans="2:11" ht="15" customHeight="1">
      <c r="B57" s="51"/>
      <c r="C57" s="52"/>
      <c r="D57" s="52"/>
      <c r="E57" s="52"/>
      <c r="F57" s="58">
        <f t="shared" ref="F57:K57" si="13">SUM(F54:F56)</f>
        <v>98997134.559686884</v>
      </c>
      <c r="G57" s="144">
        <f t="shared" si="13"/>
        <v>143620259.58199608</v>
      </c>
      <c r="H57" s="144">
        <f t="shared" si="13"/>
        <v>208371416.12543249</v>
      </c>
      <c r="I57" s="144">
        <f t="shared" si="13"/>
        <v>302338698.54159975</v>
      </c>
      <c r="J57" s="144">
        <f t="shared" si="13"/>
        <v>438630813.0489769</v>
      </c>
      <c r="K57" s="145">
        <f t="shared" si="13"/>
        <v>636254837.9701221</v>
      </c>
    </row>
    <row r="58" spans="2:11" ht="15" customHeight="1">
      <c r="F58" s="55"/>
      <c r="G58" s="64"/>
      <c r="H58" s="64"/>
      <c r="I58" s="64"/>
      <c r="J58" s="64"/>
      <c r="K58" s="64"/>
    </row>
    <row r="59" spans="2:11" ht="14.4">
      <c r="B59" s="94" t="s">
        <v>114</v>
      </c>
      <c r="C59" s="95"/>
      <c r="D59" s="96"/>
      <c r="E59" s="96"/>
      <c r="F59" s="97"/>
      <c r="G59" s="153"/>
      <c r="H59" s="153"/>
      <c r="I59" s="153"/>
      <c r="J59" s="153"/>
      <c r="K59" s="154"/>
    </row>
    <row r="60" spans="2:11" ht="14.4">
      <c r="B60" s="84" t="s">
        <v>237</v>
      </c>
      <c r="F60" s="55"/>
      <c r="G60" s="64"/>
      <c r="H60" s="64"/>
      <c r="I60" s="64"/>
      <c r="J60" s="64"/>
      <c r="K60" s="155"/>
    </row>
    <row r="61" spans="2:11" ht="14.4">
      <c r="B61" s="85" t="s">
        <v>115</v>
      </c>
      <c r="F61" s="55">
        <f>'Income Statement'!D5/Assumption!$E$49</f>
        <v>28384014.368817523</v>
      </c>
      <c r="G61" s="64">
        <f>'Income Statement'!E5/Assumption!$E$49</f>
        <v>41178156.617966391</v>
      </c>
      <c r="H61" s="64">
        <f>'Income Statement'!F5/Assumption!$E$49</f>
        <v>59743317.780468069</v>
      </c>
      <c r="I61" s="64">
        <f>'Income Statement'!G5/Assumption!$E$49</f>
        <v>86685195.504122272</v>
      </c>
      <c r="J61" s="64">
        <f>'Income Statement'!H5/Assumption!$E$49</f>
        <v>125762259.23672482</v>
      </c>
      <c r="K61" s="155">
        <f>'Income Statement'!I5/Assumption!$E$49</f>
        <v>182424133.21857598</v>
      </c>
    </row>
    <row r="62" spans="2:11" ht="14.4">
      <c r="B62" s="85" t="s">
        <v>62</v>
      </c>
      <c r="F62" s="55">
        <f>Schedules!F44</f>
        <v>9884732.1722113527</v>
      </c>
      <c r="G62" s="64">
        <f>Schedules!G44</f>
        <v>13666804.352250494</v>
      </c>
      <c r="H62" s="64">
        <f>Schedules!H44</f>
        <v>18899541.88858448</v>
      </c>
      <c r="I62" s="64">
        <f>Schedules!I44</f>
        <v>26141504.775284071</v>
      </c>
      <c r="J62" s="64">
        <f>Schedules!J44</f>
        <v>36152203.796388663</v>
      </c>
      <c r="K62" s="155">
        <f>Schedules!K44</f>
        <v>49981265.803444564</v>
      </c>
    </row>
    <row r="63" spans="2:11" ht="14.4">
      <c r="B63" s="85"/>
      <c r="C63" s="1"/>
      <c r="F63" s="55"/>
      <c r="G63" s="64"/>
      <c r="H63" s="64"/>
      <c r="I63" s="64"/>
      <c r="J63" s="64"/>
      <c r="K63" s="155"/>
    </row>
    <row r="64" spans="2:11" ht="14.4">
      <c r="B64" s="84" t="s">
        <v>116</v>
      </c>
      <c r="F64" s="55"/>
      <c r="G64" s="64"/>
      <c r="H64" s="64"/>
      <c r="I64" s="64"/>
      <c r="J64" s="64"/>
      <c r="K64" s="155"/>
    </row>
    <row r="65" spans="2:11" ht="14.4">
      <c r="B65" s="85" t="s">
        <v>68</v>
      </c>
      <c r="F65" s="55">
        <f>'Income Statement'!D6/Assumption!$E$50</f>
        <v>32937940.290057112</v>
      </c>
      <c r="G65" s="64">
        <f>'Income Statement'!E6/Assumption!$E$50</f>
        <v>45547959.108489946</v>
      </c>
      <c r="H65" s="64">
        <f>'Income Statement'!F6/Assumption!$E$50</f>
        <v>62999133.844420046</v>
      </c>
      <c r="I65" s="64">
        <f>'Income Statement'!G6/Assumption!$E$50</f>
        <v>87158117.906036213</v>
      </c>
      <c r="J65" s="64">
        <f>'Income Statement'!H6/Assumption!$E$50</f>
        <v>120557928.62985887</v>
      </c>
      <c r="K65" s="155">
        <f>'Income Statement'!I6/Assumption!$E$50</f>
        <v>166699486.18387541</v>
      </c>
    </row>
    <row r="66" spans="2:11" ht="15" customHeight="1">
      <c r="B66" s="85"/>
      <c r="F66" s="55"/>
      <c r="G66" s="64"/>
      <c r="H66" s="64"/>
      <c r="I66" s="64"/>
      <c r="J66" s="64"/>
      <c r="K66" s="155"/>
    </row>
    <row r="67" spans="2:11" ht="14.4">
      <c r="B67" s="84" t="s">
        <v>117</v>
      </c>
      <c r="F67" s="55">
        <f t="shared" ref="F67:K67" si="14">SUM(F61:F62)-F65</f>
        <v>5330806.2509717606</v>
      </c>
      <c r="G67" s="64">
        <f t="shared" si="14"/>
        <v>9297001.8617269397</v>
      </c>
      <c r="H67" s="64">
        <f t="shared" si="14"/>
        <v>15643725.824632496</v>
      </c>
      <c r="I67" s="64">
        <f t="shared" si="14"/>
        <v>25668582.373370126</v>
      </c>
      <c r="J67" s="64">
        <f t="shared" si="14"/>
        <v>41356534.403254613</v>
      </c>
      <c r="K67" s="155">
        <f t="shared" si="14"/>
        <v>65705912.838145137</v>
      </c>
    </row>
    <row r="68" spans="2:11" ht="15" customHeight="1">
      <c r="B68" s="85"/>
      <c r="F68" s="55"/>
      <c r="G68" s="64"/>
      <c r="H68" s="64"/>
      <c r="I68" s="64"/>
      <c r="J68" s="64"/>
      <c r="K68" s="155"/>
    </row>
    <row r="69" spans="2:11" ht="14.4">
      <c r="B69" s="86" t="s">
        <v>118</v>
      </c>
      <c r="C69" s="87"/>
      <c r="D69" s="87"/>
      <c r="E69" s="87"/>
      <c r="F69" s="88">
        <f>E67-F67</f>
        <v>-5330806.2509717606</v>
      </c>
      <c r="G69" s="156">
        <f t="shared" ref="G69:K69" si="15">F67-G67</f>
        <v>-3966195.6107551791</v>
      </c>
      <c r="H69" s="156">
        <f t="shared" si="15"/>
        <v>-6346723.962905556</v>
      </c>
      <c r="I69" s="156">
        <f t="shared" si="15"/>
        <v>-10024856.54873763</v>
      </c>
      <c r="J69" s="156">
        <f t="shared" si="15"/>
        <v>-15687952.029884487</v>
      </c>
      <c r="K69" s="157">
        <f t="shared" si="15"/>
        <v>-24349378.434890524</v>
      </c>
    </row>
    <row r="70" spans="2:11" ht="15" customHeight="1">
      <c r="F70" s="55"/>
      <c r="G70" s="64"/>
      <c r="H70" s="64"/>
      <c r="I70" s="64"/>
      <c r="J70" s="64"/>
      <c r="K70" s="64"/>
    </row>
    <row r="71" spans="2:11" ht="14.4">
      <c r="B71" s="93" t="s">
        <v>43</v>
      </c>
      <c r="C71" s="91"/>
      <c r="D71" s="91"/>
      <c r="E71" s="91"/>
      <c r="F71" s="92"/>
      <c r="G71" s="151"/>
      <c r="H71" s="151"/>
      <c r="I71" s="151"/>
      <c r="J71" s="151"/>
      <c r="K71" s="152"/>
    </row>
    <row r="72" spans="2:11" ht="14.4">
      <c r="B72" s="42" t="str">
        <f>Assumption!B33</f>
        <v>Land</v>
      </c>
      <c r="C72">
        <f>Assumption!C33</f>
        <v>50000000</v>
      </c>
      <c r="F72" s="55">
        <f>C$72*Assumption!I33</f>
        <v>50000000</v>
      </c>
      <c r="G72" s="64">
        <f>$C$72*Assumption!J33</f>
        <v>0</v>
      </c>
      <c r="H72" s="64">
        <f>$C$72*Assumption!K33</f>
        <v>0</v>
      </c>
      <c r="I72" s="64">
        <f>$C$72*Assumption!L33</f>
        <v>0</v>
      </c>
      <c r="J72" s="64">
        <f>$C$72*Assumption!M33</f>
        <v>0</v>
      </c>
      <c r="K72" s="142">
        <f>$C$72*Assumption!N33</f>
        <v>0</v>
      </c>
    </row>
    <row r="73" spans="2:11" ht="14.4">
      <c r="B73" s="42" t="str">
        <f>Assumption!B34</f>
        <v>Building</v>
      </c>
      <c r="C73">
        <f>Assumption!C34</f>
        <v>20000000</v>
      </c>
      <c r="F73" s="55">
        <f>$C$73*Assumption!I34</f>
        <v>7000000</v>
      </c>
      <c r="G73" s="64">
        <f>$C$73*Assumption!J34</f>
        <v>4000000</v>
      </c>
      <c r="H73" s="64">
        <f>$C$73*Assumption!K34</f>
        <v>3000000</v>
      </c>
      <c r="I73" s="64">
        <f>$C$73*Assumption!L34</f>
        <v>2000000</v>
      </c>
      <c r="J73" s="64">
        <f>$C$73*Assumption!M34</f>
        <v>2000000</v>
      </c>
      <c r="K73" s="142">
        <f>$C$73*Assumption!N34</f>
        <v>2000000</v>
      </c>
    </row>
    <row r="74" spans="2:11" ht="14.4">
      <c r="B74" s="42" t="str">
        <f>Assumption!B35</f>
        <v>Machinery</v>
      </c>
      <c r="C74">
        <f>Assumption!C35</f>
        <v>100000000</v>
      </c>
      <c r="F74" s="55">
        <f>$C$74*Assumption!I35</f>
        <v>40000000</v>
      </c>
      <c r="G74" s="64">
        <f>$C$74*Assumption!J35</f>
        <v>30000000</v>
      </c>
      <c r="H74" s="64">
        <f>$C$74*Assumption!K35</f>
        <v>20000000</v>
      </c>
      <c r="I74" s="64">
        <f>$C$74*Assumption!L35</f>
        <v>10000000</v>
      </c>
      <c r="J74" s="64">
        <f>$C$74*Assumption!M35</f>
        <v>0</v>
      </c>
      <c r="K74" s="142">
        <f>$C$74*Assumption!N35</f>
        <v>0</v>
      </c>
    </row>
    <row r="75" spans="2:11" ht="14.4">
      <c r="B75" s="42"/>
      <c r="F75" s="55"/>
      <c r="G75" s="64"/>
      <c r="H75" s="64"/>
      <c r="I75" s="64"/>
      <c r="J75" s="64"/>
      <c r="K75" s="142"/>
    </row>
    <row r="76" spans="2:11" ht="14.4">
      <c r="B76" s="51" t="s">
        <v>119</v>
      </c>
      <c r="C76" s="83">
        <f>SUM(C72:C74)</f>
        <v>170000000</v>
      </c>
      <c r="D76" s="83"/>
      <c r="E76" s="83"/>
      <c r="F76" s="58">
        <f>SUM(F72:F74)</f>
        <v>97000000</v>
      </c>
      <c r="G76" s="144">
        <f>SUM(G72:G74)+F76</f>
        <v>131000000</v>
      </c>
      <c r="H76" s="144">
        <f t="shared" ref="H76:K76" si="16">SUM(H72:H74)+G76</f>
        <v>154000000</v>
      </c>
      <c r="I76" s="144">
        <f t="shared" si="16"/>
        <v>166000000</v>
      </c>
      <c r="J76" s="144">
        <f t="shared" si="16"/>
        <v>168000000</v>
      </c>
      <c r="K76" s="144">
        <f t="shared" si="16"/>
        <v>170000000</v>
      </c>
    </row>
    <row r="77" spans="2:11" ht="14.4">
      <c r="F77" s="55"/>
      <c r="G77" s="64"/>
      <c r="H77" s="64"/>
      <c r="I77" s="64"/>
      <c r="J77" s="64"/>
      <c r="K77" s="64"/>
    </row>
    <row r="78" spans="2:11" ht="14.4">
      <c r="B78" s="93" t="s">
        <v>120</v>
      </c>
      <c r="C78" s="91"/>
      <c r="D78" s="91"/>
      <c r="E78" s="91"/>
      <c r="F78" s="92"/>
      <c r="G78" s="151"/>
      <c r="H78" s="151"/>
      <c r="I78" s="151"/>
      <c r="J78" s="151"/>
      <c r="K78" s="152"/>
    </row>
    <row r="79" spans="2:11" ht="14.4">
      <c r="B79" s="42" t="s">
        <v>121</v>
      </c>
      <c r="F79" s="55">
        <f>E82</f>
        <v>0</v>
      </c>
      <c r="G79" s="64">
        <f t="shared" ref="G79:K79" si="17">F82</f>
        <v>0</v>
      </c>
      <c r="H79" s="64">
        <f>G82</f>
        <v>0</v>
      </c>
      <c r="I79" s="64">
        <f t="shared" si="17"/>
        <v>0</v>
      </c>
      <c r="J79" s="64">
        <f t="shared" si="17"/>
        <v>0</v>
      </c>
      <c r="K79" s="142">
        <f t="shared" si="17"/>
        <v>0</v>
      </c>
    </row>
    <row r="80" spans="2:11" ht="14.4">
      <c r="B80" s="42" t="s">
        <v>122</v>
      </c>
      <c r="F80" s="55">
        <f>F76</f>
        <v>97000000</v>
      </c>
      <c r="G80" s="64">
        <f t="shared" ref="G80:K80" si="18">G76</f>
        <v>131000000</v>
      </c>
      <c r="H80" s="64">
        <f t="shared" si="18"/>
        <v>154000000</v>
      </c>
      <c r="I80" s="64">
        <f t="shared" si="18"/>
        <v>166000000</v>
      </c>
      <c r="J80" s="64">
        <f t="shared" si="18"/>
        <v>168000000</v>
      </c>
      <c r="K80" s="142">
        <f t="shared" si="18"/>
        <v>170000000</v>
      </c>
    </row>
    <row r="81" spans="2:11" ht="14.4">
      <c r="B81" s="42" t="s">
        <v>123</v>
      </c>
      <c r="F81" s="55">
        <f t="shared" ref="F81:K81" si="19">SUM(F79,F80)*F7</f>
        <v>97000000</v>
      </c>
      <c r="G81" s="64">
        <f t="shared" si="19"/>
        <v>131000000</v>
      </c>
      <c r="H81" s="64">
        <f t="shared" si="19"/>
        <v>154000000</v>
      </c>
      <c r="I81" s="64">
        <f t="shared" si="19"/>
        <v>166000000</v>
      </c>
      <c r="J81" s="64">
        <f t="shared" si="19"/>
        <v>168000000</v>
      </c>
      <c r="K81" s="142">
        <f t="shared" si="19"/>
        <v>170000000</v>
      </c>
    </row>
    <row r="82" spans="2:11" ht="14.4">
      <c r="B82" s="80" t="s">
        <v>124</v>
      </c>
      <c r="C82" s="52"/>
      <c r="D82" s="52"/>
      <c r="E82" s="52"/>
      <c r="F82" s="56">
        <f>F79+F80-F81</f>
        <v>0</v>
      </c>
      <c r="G82" s="158">
        <f>G79+G80-G81</f>
        <v>0</v>
      </c>
      <c r="H82" s="158">
        <f t="shared" ref="H82:K82" si="20">H79+H80-H81</f>
        <v>0</v>
      </c>
      <c r="I82" s="158">
        <f t="shared" si="20"/>
        <v>0</v>
      </c>
      <c r="J82" s="158">
        <f t="shared" si="20"/>
        <v>0</v>
      </c>
      <c r="K82" s="159">
        <f t="shared" si="20"/>
        <v>0</v>
      </c>
    </row>
    <row r="83" spans="2:11" ht="14.4">
      <c r="F83" s="55"/>
      <c r="G83" s="64"/>
      <c r="H83" s="64"/>
      <c r="I83" s="64"/>
      <c r="J83" s="64"/>
      <c r="K83" s="64"/>
    </row>
    <row r="84" spans="2:11" ht="14.4">
      <c r="B84" s="93" t="s">
        <v>125</v>
      </c>
      <c r="C84" s="91"/>
      <c r="D84" s="91"/>
      <c r="E84" s="91"/>
      <c r="F84" s="92"/>
      <c r="G84" s="151"/>
      <c r="H84" s="151"/>
      <c r="I84" s="151"/>
      <c r="J84" s="151"/>
      <c r="K84" s="152"/>
    </row>
    <row r="85" spans="2:11" ht="14.4">
      <c r="B85" s="42" t="s">
        <v>121</v>
      </c>
      <c r="F85" s="55">
        <f>E88</f>
        <v>0</v>
      </c>
      <c r="G85" s="64">
        <f t="shared" ref="G85:K85" si="21">F88</f>
        <v>97000000</v>
      </c>
      <c r="H85" s="64">
        <f t="shared" si="21"/>
        <v>228000000</v>
      </c>
      <c r="I85" s="64">
        <f t="shared" si="21"/>
        <v>382000000</v>
      </c>
      <c r="J85" s="64">
        <f t="shared" si="21"/>
        <v>548000000</v>
      </c>
      <c r="K85" s="142">
        <f t="shared" si="21"/>
        <v>716000000</v>
      </c>
    </row>
    <row r="86" spans="2:11" ht="14.4">
      <c r="B86" s="42" t="s">
        <v>122</v>
      </c>
      <c r="F86" s="55">
        <f>F81</f>
        <v>97000000</v>
      </c>
      <c r="G86" s="64">
        <f t="shared" ref="G86:K86" si="22">G81</f>
        <v>131000000</v>
      </c>
      <c r="H86" s="64">
        <f t="shared" si="22"/>
        <v>154000000</v>
      </c>
      <c r="I86" s="64">
        <f t="shared" si="22"/>
        <v>166000000</v>
      </c>
      <c r="J86" s="64">
        <f t="shared" si="22"/>
        <v>168000000</v>
      </c>
      <c r="K86" s="142">
        <f t="shared" si="22"/>
        <v>170000000</v>
      </c>
    </row>
    <row r="87" spans="2:11" ht="14.4">
      <c r="B87" s="42" t="s">
        <v>123</v>
      </c>
      <c r="F87" s="55">
        <v>0</v>
      </c>
      <c r="G87" s="64">
        <v>0</v>
      </c>
      <c r="H87" s="64">
        <v>0</v>
      </c>
      <c r="I87" s="64">
        <v>0</v>
      </c>
      <c r="J87" s="64">
        <v>0</v>
      </c>
      <c r="K87" s="142">
        <v>0</v>
      </c>
    </row>
    <row r="88" spans="2:11" ht="14.4">
      <c r="B88" s="80" t="s">
        <v>124</v>
      </c>
      <c r="C88" s="52"/>
      <c r="D88" s="52"/>
      <c r="E88" s="52"/>
      <c r="F88" s="56">
        <f>F85+F86-F87</f>
        <v>97000000</v>
      </c>
      <c r="G88" s="158">
        <f t="shared" ref="G88:K88" si="23">G85+G86-G87</f>
        <v>228000000</v>
      </c>
      <c r="H88" s="158">
        <f t="shared" si="23"/>
        <v>382000000</v>
      </c>
      <c r="I88" s="158">
        <f t="shared" si="23"/>
        <v>548000000</v>
      </c>
      <c r="J88" s="158">
        <f t="shared" si="23"/>
        <v>716000000</v>
      </c>
      <c r="K88" s="159">
        <f t="shared" si="23"/>
        <v>886000000</v>
      </c>
    </row>
    <row r="89" spans="2:11" ht="14.4">
      <c r="F89" s="55"/>
      <c r="G89" s="64"/>
      <c r="H89" s="64"/>
      <c r="I89" s="64"/>
      <c r="J89" s="64"/>
      <c r="K89" s="64"/>
    </row>
    <row r="90" spans="2:11" ht="14.4">
      <c r="B90" s="93" t="s">
        <v>126</v>
      </c>
      <c r="C90" s="91"/>
      <c r="D90" s="91"/>
      <c r="E90" s="91"/>
      <c r="F90" s="92"/>
      <c r="G90" s="151"/>
      <c r="H90" s="151"/>
      <c r="I90" s="151"/>
      <c r="J90" s="151"/>
      <c r="K90" s="152"/>
    </row>
    <row r="91" spans="2:11" ht="14.4">
      <c r="B91" s="98"/>
      <c r="C91" s="5" t="s">
        <v>127</v>
      </c>
      <c r="D91" s="5" t="s">
        <v>128</v>
      </c>
      <c r="F91" s="55"/>
      <c r="G91" s="64"/>
      <c r="H91" s="64"/>
      <c r="I91" s="64"/>
      <c r="J91" s="64"/>
      <c r="K91" s="142"/>
    </row>
    <row r="92" spans="2:11" ht="14.4">
      <c r="B92" s="42" t="s">
        <v>51</v>
      </c>
      <c r="C92">
        <f>(1-Assumption!E34)*Assumption!C34</f>
        <v>14000000</v>
      </c>
      <c r="D92" s="2">
        <f>Assumption!D34</f>
        <v>0.02</v>
      </c>
      <c r="F92" s="55">
        <f t="shared" ref="F92:K93" si="24">MIN($C92*$D92*(F$9/F$8),$C92-E97)</f>
        <v>280000</v>
      </c>
      <c r="G92" s="64">
        <f t="shared" si="24"/>
        <v>280000</v>
      </c>
      <c r="H92" s="64">
        <f t="shared" si="24"/>
        <v>280000</v>
      </c>
      <c r="I92" s="64">
        <f t="shared" si="24"/>
        <v>280000</v>
      </c>
      <c r="J92" s="64">
        <f t="shared" si="24"/>
        <v>280000</v>
      </c>
      <c r="K92" s="142">
        <f t="shared" si="24"/>
        <v>280000</v>
      </c>
    </row>
    <row r="93" spans="2:11" ht="14.4">
      <c r="B93" s="42" t="s">
        <v>52</v>
      </c>
      <c r="C93" s="99">
        <f>(1-Assumption!E35)*Assumption!C35</f>
        <v>80000000</v>
      </c>
      <c r="D93" s="7">
        <f>Assumption!D35</f>
        <v>6.6600000000000006E-2</v>
      </c>
      <c r="F93" s="55">
        <f t="shared" si="24"/>
        <v>5328000.0000000009</v>
      </c>
      <c r="G93" s="64">
        <f t="shared" si="24"/>
        <v>5328000.0000000009</v>
      </c>
      <c r="H93" s="64">
        <f t="shared" si="24"/>
        <v>5328000.0000000009</v>
      </c>
      <c r="I93" s="64">
        <f t="shared" si="24"/>
        <v>5328000.0000000009</v>
      </c>
      <c r="J93" s="64">
        <f t="shared" si="24"/>
        <v>5328000.0000000009</v>
      </c>
      <c r="K93" s="142">
        <f t="shared" si="24"/>
        <v>5328000.0000000009</v>
      </c>
    </row>
    <row r="94" spans="2:11" ht="14.4">
      <c r="B94" s="42" t="s">
        <v>129</v>
      </c>
      <c r="C94" s="99"/>
      <c r="D94" s="7"/>
      <c r="F94" s="55">
        <f>SUM(F92:F93)</f>
        <v>5608000.0000000009</v>
      </c>
      <c r="G94" s="64">
        <f t="shared" ref="G94:K94" si="25">SUM(G92:G93)</f>
        <v>5608000.0000000009</v>
      </c>
      <c r="H94" s="64">
        <f t="shared" si="25"/>
        <v>5608000.0000000009</v>
      </c>
      <c r="I94" s="64">
        <f t="shared" si="25"/>
        <v>5608000.0000000009</v>
      </c>
      <c r="J94" s="64">
        <f t="shared" si="25"/>
        <v>5608000.0000000009</v>
      </c>
      <c r="K94" s="142">
        <f t="shared" si="25"/>
        <v>5608000.0000000009</v>
      </c>
    </row>
    <row r="95" spans="2:11" ht="14.4">
      <c r="B95" s="42"/>
      <c r="F95" s="55"/>
      <c r="G95" s="64"/>
      <c r="H95" s="64"/>
      <c r="I95" s="64"/>
      <c r="J95" s="64"/>
      <c r="K95" s="142"/>
    </row>
    <row r="96" spans="2:11" ht="14.4">
      <c r="B96" s="98" t="s">
        <v>130</v>
      </c>
      <c r="F96" s="55"/>
      <c r="G96" s="64"/>
      <c r="H96" s="64"/>
      <c r="I96" s="64"/>
      <c r="J96" s="64"/>
      <c r="K96" s="142"/>
    </row>
    <row r="97" spans="1:11" ht="14.4">
      <c r="B97" s="42" t="s">
        <v>51</v>
      </c>
      <c r="C97" s="5"/>
      <c r="F97" s="55">
        <f>E97+F92</f>
        <v>280000</v>
      </c>
      <c r="G97" s="64">
        <f t="shared" ref="G97:K97" si="26">F97+G92</f>
        <v>560000</v>
      </c>
      <c r="H97" s="64">
        <f>G97+H92</f>
        <v>840000</v>
      </c>
      <c r="I97" s="64">
        <f t="shared" si="26"/>
        <v>1120000</v>
      </c>
      <c r="J97" s="64">
        <f t="shared" si="26"/>
        <v>1400000</v>
      </c>
      <c r="K97" s="142">
        <f t="shared" si="26"/>
        <v>1680000</v>
      </c>
    </row>
    <row r="98" spans="1:11" ht="14.4">
      <c r="B98" s="42" t="s">
        <v>52</v>
      </c>
      <c r="F98" s="55">
        <f>E98+F93</f>
        <v>5328000.0000000009</v>
      </c>
      <c r="G98" s="64">
        <f t="shared" ref="G98:K98" si="27">F98+G93</f>
        <v>10656000.000000002</v>
      </c>
      <c r="H98" s="64">
        <f>G98+H93</f>
        <v>15984000.000000004</v>
      </c>
      <c r="I98" s="64">
        <f t="shared" si="27"/>
        <v>21312000.000000004</v>
      </c>
      <c r="J98" s="64">
        <f t="shared" si="27"/>
        <v>26640000.000000004</v>
      </c>
      <c r="K98" s="142">
        <f t="shared" si="27"/>
        <v>31968000.000000004</v>
      </c>
    </row>
    <row r="99" spans="1:11" ht="14.4">
      <c r="B99" s="42" t="s">
        <v>131</v>
      </c>
      <c r="F99" s="55">
        <f>SUM(F97:F98)</f>
        <v>5608000.0000000009</v>
      </c>
      <c r="G99" s="64">
        <f t="shared" ref="G99:K99" si="28">SUM(G97:G98)</f>
        <v>11216000.000000002</v>
      </c>
      <c r="H99" s="64">
        <f t="shared" si="28"/>
        <v>16824000.000000004</v>
      </c>
      <c r="I99" s="64">
        <f t="shared" si="28"/>
        <v>22432000.000000004</v>
      </c>
      <c r="J99" s="64">
        <f t="shared" si="28"/>
        <v>28040000.000000004</v>
      </c>
      <c r="K99" s="142">
        <f t="shared" si="28"/>
        <v>33648000</v>
      </c>
    </row>
    <row r="100" spans="1:11" ht="14.4">
      <c r="B100" s="42"/>
      <c r="F100" s="55"/>
      <c r="G100" s="64"/>
      <c r="H100" s="64"/>
      <c r="I100" s="64"/>
      <c r="J100" s="64"/>
      <c r="K100" s="142"/>
    </row>
    <row r="101" spans="1:11" ht="14.4">
      <c r="B101" s="51" t="s">
        <v>132</v>
      </c>
      <c r="C101" s="52"/>
      <c r="D101" s="52"/>
      <c r="E101" s="52"/>
      <c r="F101" s="56">
        <f>F88-F99</f>
        <v>91392000</v>
      </c>
      <c r="G101" s="158">
        <f t="shared" ref="G101:K101" si="29">G88-G99</f>
        <v>216784000</v>
      </c>
      <c r="H101" s="158">
        <f t="shared" si="29"/>
        <v>365176000</v>
      </c>
      <c r="I101" s="158">
        <f t="shared" si="29"/>
        <v>525568000</v>
      </c>
      <c r="J101" s="158">
        <f t="shared" si="29"/>
        <v>687960000</v>
      </c>
      <c r="K101" s="159">
        <f t="shared" si="29"/>
        <v>852352000</v>
      </c>
    </row>
    <row r="102" spans="1:11" ht="14.4">
      <c r="F102" s="55"/>
      <c r="G102" s="64"/>
      <c r="H102" s="64"/>
      <c r="I102" s="64"/>
      <c r="J102" s="64"/>
      <c r="K102" s="64"/>
    </row>
    <row r="103" spans="1:11" ht="14.4">
      <c r="B103" s="93" t="s">
        <v>133</v>
      </c>
      <c r="C103" s="91"/>
      <c r="D103" s="91"/>
      <c r="E103" s="91"/>
      <c r="F103" s="92"/>
      <c r="G103" s="151"/>
      <c r="H103" s="151"/>
      <c r="I103" s="151"/>
      <c r="J103" s="151"/>
      <c r="K103" s="152"/>
    </row>
    <row r="104" spans="1:11" ht="14.4">
      <c r="B104" s="45"/>
      <c r="D104" s="16" t="s">
        <v>238</v>
      </c>
      <c r="G104" s="73"/>
      <c r="H104" s="73"/>
      <c r="I104" s="73"/>
      <c r="J104" s="73"/>
      <c r="K104" s="148"/>
    </row>
    <row r="105" spans="1:11" ht="14.4">
      <c r="B105" s="42" t="s">
        <v>55</v>
      </c>
      <c r="C105" s="2">
        <v>0.8</v>
      </c>
      <c r="D105">
        <f>$D$109*C105</f>
        <v>136000000</v>
      </c>
      <c r="F105" s="55"/>
      <c r="G105" s="64"/>
      <c r="H105" s="64"/>
      <c r="I105" s="64"/>
      <c r="J105" s="64"/>
      <c r="K105" s="142"/>
    </row>
    <row r="106" spans="1:11" ht="14.4">
      <c r="B106" s="42" t="s">
        <v>57</v>
      </c>
      <c r="C106" s="2">
        <v>0.05</v>
      </c>
      <c r="D106">
        <f>$D$109*C106</f>
        <v>8500000</v>
      </c>
      <c r="F106" s="55"/>
      <c r="G106" s="64"/>
      <c r="H106" s="64"/>
      <c r="I106" s="64"/>
      <c r="J106" s="64"/>
      <c r="K106" s="142"/>
    </row>
    <row r="107" spans="1:11" ht="14.4">
      <c r="B107" s="42" t="s">
        <v>59</v>
      </c>
      <c r="C107" s="2">
        <v>0.15</v>
      </c>
      <c r="D107">
        <f>$D$109*C107</f>
        <v>25500000</v>
      </c>
      <c r="F107" s="55"/>
      <c r="G107" s="64"/>
      <c r="H107" s="64"/>
      <c r="I107" s="64"/>
      <c r="J107" s="64"/>
      <c r="K107" s="142"/>
    </row>
    <row r="108" spans="1:11" ht="14.4">
      <c r="B108" s="42"/>
      <c r="C108" s="2"/>
      <c r="F108" s="55"/>
      <c r="G108" s="64"/>
      <c r="H108" s="64"/>
      <c r="I108" s="64"/>
      <c r="J108" s="64"/>
      <c r="K108" s="142"/>
    </row>
    <row r="109" spans="1:11" ht="14.4">
      <c r="B109" s="80"/>
      <c r="C109" s="100"/>
      <c r="D109" s="52">
        <f>SUM(C72:C74)</f>
        <v>170000000</v>
      </c>
      <c r="E109" s="52"/>
      <c r="F109" s="56">
        <f t="shared" ref="F109:K109" si="30">F76</f>
        <v>97000000</v>
      </c>
      <c r="G109" s="158">
        <f t="shared" si="30"/>
        <v>131000000</v>
      </c>
      <c r="H109" s="158">
        <f t="shared" si="30"/>
        <v>154000000</v>
      </c>
      <c r="I109" s="158">
        <f t="shared" si="30"/>
        <v>166000000</v>
      </c>
      <c r="J109" s="158">
        <f t="shared" si="30"/>
        <v>168000000</v>
      </c>
      <c r="K109" s="159">
        <f t="shared" si="30"/>
        <v>170000000</v>
      </c>
    </row>
    <row r="110" spans="1:11" ht="14.4">
      <c r="A110" s="1"/>
      <c r="B110" s="2"/>
      <c r="F110" s="55"/>
      <c r="G110" s="64"/>
      <c r="H110" s="64"/>
      <c r="I110" s="64"/>
      <c r="J110" s="64"/>
      <c r="K110" s="64"/>
    </row>
    <row r="111" spans="1:11" ht="14.4">
      <c r="B111" s="93" t="s">
        <v>134</v>
      </c>
      <c r="C111" s="91"/>
      <c r="D111" s="91"/>
      <c r="E111" s="91"/>
      <c r="F111" s="92"/>
      <c r="G111" s="151"/>
      <c r="H111" s="151"/>
      <c r="I111" s="151"/>
      <c r="J111" s="151"/>
      <c r="K111" s="152"/>
    </row>
    <row r="112" spans="1:11" ht="14.4">
      <c r="B112" s="98" t="s">
        <v>57</v>
      </c>
      <c r="F112" s="55"/>
      <c r="G112" s="64"/>
      <c r="H112" s="64"/>
      <c r="I112" s="64"/>
      <c r="J112" s="64"/>
      <c r="K112" s="142"/>
    </row>
    <row r="113" spans="2:11" ht="14.4">
      <c r="B113" s="42" t="s">
        <v>135</v>
      </c>
      <c r="F113" s="55">
        <f t="shared" ref="F113:K113" si="31">MIN(E114,F109)</f>
        <v>8500000</v>
      </c>
      <c r="G113" s="64">
        <f t="shared" si="31"/>
        <v>0</v>
      </c>
      <c r="H113" s="64">
        <f t="shared" si="31"/>
        <v>0</v>
      </c>
      <c r="I113" s="64">
        <f t="shared" si="31"/>
        <v>0</v>
      </c>
      <c r="J113" s="64">
        <f t="shared" si="31"/>
        <v>0</v>
      </c>
      <c r="K113" s="142">
        <f t="shared" si="31"/>
        <v>0</v>
      </c>
    </row>
    <row r="114" spans="2:11" ht="14.4">
      <c r="B114" s="42" t="s">
        <v>136</v>
      </c>
      <c r="E114">
        <f>D106</f>
        <v>8500000</v>
      </c>
      <c r="F114" s="55">
        <f>E114-F113</f>
        <v>0</v>
      </c>
      <c r="G114" s="64">
        <f t="shared" ref="G114:K114" si="32">F114-G113</f>
        <v>0</v>
      </c>
      <c r="H114" s="64">
        <f t="shared" si="32"/>
        <v>0</v>
      </c>
      <c r="I114" s="64">
        <f t="shared" si="32"/>
        <v>0</v>
      </c>
      <c r="J114" s="64">
        <f t="shared" si="32"/>
        <v>0</v>
      </c>
      <c r="K114" s="142">
        <f t="shared" si="32"/>
        <v>0</v>
      </c>
    </row>
    <row r="115" spans="2:11" ht="14.4">
      <c r="B115" s="42"/>
      <c r="F115" s="55"/>
      <c r="G115" s="64"/>
      <c r="H115" s="64"/>
      <c r="I115" s="64"/>
      <c r="J115" s="64"/>
      <c r="K115" s="142"/>
    </row>
    <row r="116" spans="2:11" ht="14.4">
      <c r="B116" s="98" t="s">
        <v>137</v>
      </c>
      <c r="F116" s="55"/>
      <c r="G116" s="64"/>
      <c r="H116" s="64"/>
      <c r="I116" s="64"/>
      <c r="J116" s="64"/>
      <c r="K116" s="142"/>
    </row>
    <row r="117" spans="2:11" ht="15" customHeight="1">
      <c r="B117" s="42" t="s">
        <v>138</v>
      </c>
      <c r="F117" s="55">
        <f t="shared" ref="F117:K117" si="33">MIN(E118,F109-F113)</f>
        <v>88500000</v>
      </c>
      <c r="G117" s="64">
        <f t="shared" si="33"/>
        <v>47500000</v>
      </c>
      <c r="H117" s="64">
        <f t="shared" si="33"/>
        <v>0</v>
      </c>
      <c r="I117" s="64">
        <f t="shared" si="33"/>
        <v>0</v>
      </c>
      <c r="J117" s="64">
        <f t="shared" si="33"/>
        <v>0</v>
      </c>
      <c r="K117" s="142">
        <f t="shared" si="33"/>
        <v>0</v>
      </c>
    </row>
    <row r="118" spans="2:11" ht="14.4">
      <c r="B118" s="42" t="s">
        <v>139</v>
      </c>
      <c r="E118">
        <f>D105</f>
        <v>136000000</v>
      </c>
      <c r="F118" s="55">
        <f>E118-F117</f>
        <v>47500000</v>
      </c>
      <c r="G118" s="64">
        <f t="shared" ref="G118:K118" si="34">F118-G117</f>
        <v>0</v>
      </c>
      <c r="H118" s="64">
        <f t="shared" si="34"/>
        <v>0</v>
      </c>
      <c r="I118" s="64">
        <f t="shared" si="34"/>
        <v>0</v>
      </c>
      <c r="J118" s="64">
        <f t="shared" si="34"/>
        <v>0</v>
      </c>
      <c r="K118" s="142">
        <f t="shared" si="34"/>
        <v>0</v>
      </c>
    </row>
    <row r="119" spans="2:11" ht="14.4">
      <c r="B119" s="42"/>
      <c r="F119" s="55"/>
      <c r="G119" s="64"/>
      <c r="H119" s="64"/>
      <c r="I119" s="64"/>
      <c r="J119" s="64"/>
      <c r="K119" s="142"/>
    </row>
    <row r="120" spans="2:11" ht="14.4">
      <c r="B120" s="98" t="s">
        <v>140</v>
      </c>
      <c r="F120" s="55"/>
      <c r="G120" s="64"/>
      <c r="H120" s="64"/>
      <c r="I120" s="64"/>
      <c r="J120" s="64"/>
      <c r="K120" s="142"/>
    </row>
    <row r="121" spans="2:11" ht="14.4">
      <c r="B121" s="42" t="s">
        <v>141</v>
      </c>
      <c r="F121" s="55">
        <f>MIN(F109-F113-F117,E122)</f>
        <v>0</v>
      </c>
      <c r="G121" s="64">
        <f>MIN(G109-G117-G119,F122)</f>
        <v>25500000</v>
      </c>
      <c r="H121" s="64">
        <f>MIN(H109-H117-H119,G122)</f>
        <v>0</v>
      </c>
      <c r="I121" s="64">
        <f>MIN(I109-I117-I119,H122)</f>
        <v>0</v>
      </c>
      <c r="J121" s="64">
        <f>MIN(J109-J117-J119,I122)</f>
        <v>0</v>
      </c>
      <c r="K121" s="142">
        <f>MIN(K109-K117-K119,J122)</f>
        <v>0</v>
      </c>
    </row>
    <row r="122" spans="2:11" ht="14.4">
      <c r="B122" s="80" t="s">
        <v>142</v>
      </c>
      <c r="C122" s="101"/>
      <c r="D122" s="52"/>
      <c r="E122" s="52">
        <f>D107</f>
        <v>25500000</v>
      </c>
      <c r="F122" s="56">
        <f>E122-F121</f>
        <v>25500000</v>
      </c>
      <c r="G122" s="158">
        <f t="shared" ref="G122:K122" si="35">F122-G121</f>
        <v>0</v>
      </c>
      <c r="H122" s="158">
        <f t="shared" si="35"/>
        <v>0</v>
      </c>
      <c r="I122" s="158">
        <f t="shared" si="35"/>
        <v>0</v>
      </c>
      <c r="J122" s="158">
        <f t="shared" si="35"/>
        <v>0</v>
      </c>
      <c r="K122" s="159">
        <f t="shared" si="35"/>
        <v>0</v>
      </c>
    </row>
    <row r="123" spans="2:11" ht="14.4">
      <c r="C123" s="5"/>
      <c r="F123" s="55"/>
      <c r="G123" s="64"/>
      <c r="H123" s="64"/>
      <c r="I123" s="64"/>
      <c r="J123" s="64"/>
      <c r="K123" s="64"/>
    </row>
    <row r="124" spans="2:11" ht="14.4">
      <c r="B124" s="93" t="s">
        <v>143</v>
      </c>
      <c r="C124" s="91"/>
      <c r="D124" s="91"/>
      <c r="E124" s="91"/>
      <c r="F124" s="92"/>
      <c r="G124" s="151"/>
      <c r="H124" s="151"/>
      <c r="I124" s="151"/>
      <c r="J124" s="151"/>
      <c r="K124" s="152"/>
    </row>
    <row r="125" spans="2:11" ht="14.4">
      <c r="B125" s="42" t="s">
        <v>121</v>
      </c>
      <c r="F125" s="55">
        <f>E128</f>
        <v>0</v>
      </c>
      <c r="G125" s="64">
        <f t="shared" ref="G125:K125" si="36">F128</f>
        <v>88500000</v>
      </c>
      <c r="H125" s="64">
        <f t="shared" si="36"/>
        <v>136000000</v>
      </c>
      <c r="I125" s="64">
        <f t="shared" si="36"/>
        <v>136000000</v>
      </c>
      <c r="J125" s="64">
        <f t="shared" si="36"/>
        <v>136000000</v>
      </c>
      <c r="K125" s="142">
        <f t="shared" si="36"/>
        <v>136000000</v>
      </c>
    </row>
    <row r="126" spans="2:11" ht="15" customHeight="1">
      <c r="B126" s="42" t="s">
        <v>122</v>
      </c>
      <c r="F126" s="55">
        <f t="shared" ref="F126:K126" si="37">F117</f>
        <v>88500000</v>
      </c>
      <c r="G126" s="64">
        <f t="shared" si="37"/>
        <v>47500000</v>
      </c>
      <c r="H126" s="64">
        <f t="shared" si="37"/>
        <v>0</v>
      </c>
      <c r="I126" s="64">
        <f t="shared" si="37"/>
        <v>0</v>
      </c>
      <c r="J126" s="64">
        <f t="shared" si="37"/>
        <v>0</v>
      </c>
      <c r="K126" s="142">
        <f t="shared" si="37"/>
        <v>0</v>
      </c>
    </row>
    <row r="127" spans="2:11" ht="14.4">
      <c r="B127" s="42" t="s">
        <v>123</v>
      </c>
      <c r="C127" s="5"/>
      <c r="F127" s="55">
        <v>0</v>
      </c>
      <c r="G127" s="64">
        <v>0</v>
      </c>
      <c r="H127" s="64">
        <v>0</v>
      </c>
      <c r="I127" s="64">
        <v>0</v>
      </c>
      <c r="J127" s="64">
        <v>0</v>
      </c>
      <c r="K127" s="142">
        <v>0</v>
      </c>
    </row>
    <row r="128" spans="2:11" ht="14.4">
      <c r="B128" s="80" t="s">
        <v>124</v>
      </c>
      <c r="C128" s="52"/>
      <c r="D128" s="52"/>
      <c r="E128" s="52"/>
      <c r="F128" s="56">
        <f>F125+F126-F127</f>
        <v>88500000</v>
      </c>
      <c r="G128" s="158">
        <f t="shared" ref="G128:K128" si="38">G125+G126-G127</f>
        <v>136000000</v>
      </c>
      <c r="H128" s="158">
        <f t="shared" si="38"/>
        <v>136000000</v>
      </c>
      <c r="I128" s="158">
        <f t="shared" si="38"/>
        <v>136000000</v>
      </c>
      <c r="J128" s="158">
        <f t="shared" si="38"/>
        <v>136000000</v>
      </c>
      <c r="K128" s="159">
        <f t="shared" si="38"/>
        <v>136000000</v>
      </c>
    </row>
    <row r="129" spans="2:11" ht="15" customHeight="1">
      <c r="F129" s="55"/>
      <c r="G129" s="64"/>
      <c r="H129" s="64"/>
      <c r="I129" s="64"/>
      <c r="J129" s="64"/>
      <c r="K129" s="64"/>
    </row>
    <row r="130" spans="2:11" ht="15" customHeight="1">
      <c r="B130" s="93" t="s">
        <v>144</v>
      </c>
      <c r="C130" s="91"/>
      <c r="D130" s="91"/>
      <c r="E130" s="91"/>
      <c r="F130" s="92"/>
      <c r="G130" s="151"/>
      <c r="H130" s="151"/>
      <c r="I130" s="151"/>
      <c r="J130" s="151"/>
      <c r="K130" s="152"/>
    </row>
    <row r="131" spans="2:11" ht="14.4">
      <c r="B131" s="42" t="s">
        <v>121</v>
      </c>
      <c r="F131" s="55">
        <f>E134</f>
        <v>0</v>
      </c>
      <c r="G131" s="64">
        <f t="shared" ref="G131:K131" si="39">F134</f>
        <v>0</v>
      </c>
      <c r="H131" s="64">
        <f t="shared" si="39"/>
        <v>25500000</v>
      </c>
      <c r="I131" s="64">
        <f t="shared" si="39"/>
        <v>25500000</v>
      </c>
      <c r="J131" s="64">
        <f t="shared" si="39"/>
        <v>25500000</v>
      </c>
      <c r="K131" s="142">
        <f t="shared" si="39"/>
        <v>25500000</v>
      </c>
    </row>
    <row r="132" spans="2:11" ht="14.4">
      <c r="B132" s="42" t="s">
        <v>122</v>
      </c>
      <c r="C132" s="5"/>
      <c r="F132" s="55">
        <f>F121</f>
        <v>0</v>
      </c>
      <c r="G132" s="64">
        <f t="shared" ref="G132:K132" si="40">G121</f>
        <v>25500000</v>
      </c>
      <c r="H132" s="64">
        <f t="shared" si="40"/>
        <v>0</v>
      </c>
      <c r="I132" s="64">
        <f t="shared" si="40"/>
        <v>0</v>
      </c>
      <c r="J132" s="64">
        <f t="shared" si="40"/>
        <v>0</v>
      </c>
      <c r="K132" s="142">
        <f t="shared" si="40"/>
        <v>0</v>
      </c>
    </row>
    <row r="133" spans="2:11" ht="14.4">
      <c r="B133" s="42" t="s">
        <v>123</v>
      </c>
      <c r="F133" s="55">
        <v>0</v>
      </c>
      <c r="G133" s="64">
        <v>0</v>
      </c>
      <c r="H133" s="64">
        <v>0</v>
      </c>
      <c r="I133" s="64">
        <v>0</v>
      </c>
      <c r="J133" s="64">
        <v>0</v>
      </c>
      <c r="K133" s="142">
        <v>0</v>
      </c>
    </row>
    <row r="134" spans="2:11" ht="14.4">
      <c r="B134" s="80" t="s">
        <v>124</v>
      </c>
      <c r="C134" s="52"/>
      <c r="D134" s="52"/>
      <c r="E134" s="52"/>
      <c r="F134" s="56">
        <f>F131+F132-F133</f>
        <v>0</v>
      </c>
      <c r="G134" s="158">
        <f t="shared" ref="G134:K134" si="41">G131+G132-G133</f>
        <v>25500000</v>
      </c>
      <c r="H134" s="158">
        <f t="shared" si="41"/>
        <v>25500000</v>
      </c>
      <c r="I134" s="158">
        <f t="shared" si="41"/>
        <v>25500000</v>
      </c>
      <c r="J134" s="158">
        <f t="shared" si="41"/>
        <v>25500000</v>
      </c>
      <c r="K134" s="159">
        <f t="shared" si="41"/>
        <v>25500000</v>
      </c>
    </row>
    <row r="135" spans="2:11" ht="14.4"/>
    <row r="136" spans="2:11" ht="14.4">
      <c r="B136" s="93" t="s">
        <v>145</v>
      </c>
      <c r="C136" s="91"/>
      <c r="D136" s="91"/>
      <c r="E136" s="91"/>
      <c r="F136" s="91"/>
      <c r="G136" s="91"/>
      <c r="H136" s="91"/>
      <c r="I136" s="91"/>
      <c r="J136" s="91"/>
      <c r="K136" s="104"/>
    </row>
    <row r="137" spans="2:11" ht="14.4">
      <c r="B137" s="42" t="s">
        <v>146</v>
      </c>
      <c r="C137" s="5"/>
      <c r="F137" t="b">
        <f>AND(F10&gt;Assumption!$F$40,Schedules!F10&lt;=(Assumption!$F$39+Assumption!$F$40))</f>
        <v>1</v>
      </c>
      <c r="G137" t="b">
        <f>AND(G10&gt;Assumption!$F$40,Schedules!G10&lt;=(Assumption!$F$39+Assumption!$F$40))</f>
        <v>1</v>
      </c>
      <c r="H137" t="b">
        <f>AND(H10&gt;Assumption!$F$40,Schedules!H10&lt;=(Assumption!$F$39+Assumption!$F$40))</f>
        <v>1</v>
      </c>
      <c r="I137" t="b">
        <f>AND(I10&gt;Assumption!$F$40,Schedules!I10&lt;=(Assumption!$F$39+Assumption!$F$40))</f>
        <v>1</v>
      </c>
      <c r="J137" t="b">
        <f>AND(J10&gt;Assumption!$F$40,Schedules!J10&lt;=(Assumption!$F$39+Assumption!$F$40))</f>
        <v>1</v>
      </c>
      <c r="K137" s="44" t="b">
        <f>AND(K10&gt;Assumption!$F$40,Schedules!K10&lt;=(Assumption!$F$39+Assumption!$F$40))</f>
        <v>1</v>
      </c>
    </row>
    <row r="138" spans="2:11" ht="14.4">
      <c r="B138" s="98"/>
      <c r="G138" s="73"/>
      <c r="H138" s="73"/>
      <c r="I138" s="73"/>
      <c r="J138" s="73"/>
      <c r="K138" s="148"/>
    </row>
    <row r="139" spans="2:11" ht="14.4">
      <c r="B139" s="42" t="s">
        <v>147</v>
      </c>
      <c r="E139">
        <f>D106/Assumption!F39</f>
        <v>850000</v>
      </c>
      <c r="G139" s="73"/>
      <c r="H139" s="73"/>
      <c r="I139" s="73"/>
      <c r="J139" s="73"/>
      <c r="K139" s="148"/>
    </row>
    <row r="140" spans="2:11" ht="14.4">
      <c r="B140" s="42"/>
      <c r="G140" s="73"/>
      <c r="H140" s="73"/>
      <c r="I140" s="73"/>
      <c r="J140" s="73"/>
      <c r="K140" s="148"/>
    </row>
    <row r="141" spans="2:11" ht="14.4">
      <c r="B141" s="42" t="s">
        <v>121</v>
      </c>
      <c r="F141" s="55">
        <f>E144</f>
        <v>0</v>
      </c>
      <c r="G141" s="64">
        <f t="shared" ref="G141:K141" si="42">F144</f>
        <v>7650000</v>
      </c>
      <c r="H141" s="64">
        <f t="shared" si="42"/>
        <v>6800000</v>
      </c>
      <c r="I141" s="64">
        <f t="shared" si="42"/>
        <v>5950000</v>
      </c>
      <c r="J141" s="64">
        <f t="shared" si="42"/>
        <v>5100000</v>
      </c>
      <c r="K141" s="142">
        <f t="shared" si="42"/>
        <v>4250000</v>
      </c>
    </row>
    <row r="142" spans="2:11" ht="15" customHeight="1">
      <c r="B142" s="42" t="s">
        <v>122</v>
      </c>
      <c r="F142" s="55">
        <f t="shared" ref="F142:K142" si="43">F113</f>
        <v>8500000</v>
      </c>
      <c r="G142" s="64">
        <f t="shared" si="43"/>
        <v>0</v>
      </c>
      <c r="H142" s="64">
        <f t="shared" si="43"/>
        <v>0</v>
      </c>
      <c r="I142" s="64">
        <f t="shared" si="43"/>
        <v>0</v>
      </c>
      <c r="J142" s="64">
        <f t="shared" si="43"/>
        <v>0</v>
      </c>
      <c r="K142" s="142">
        <f t="shared" si="43"/>
        <v>0</v>
      </c>
    </row>
    <row r="143" spans="2:11" ht="14.4">
      <c r="B143" s="42" t="s">
        <v>123</v>
      </c>
      <c r="C143" s="5"/>
      <c r="F143" s="55">
        <f>F137*$E$139</f>
        <v>850000</v>
      </c>
      <c r="G143" s="64">
        <f>G137*$E$139</f>
        <v>850000</v>
      </c>
      <c r="H143" s="64">
        <f t="shared" ref="H143:K143" si="44">H137*$E$139</f>
        <v>850000</v>
      </c>
      <c r="I143" s="64">
        <f t="shared" si="44"/>
        <v>850000</v>
      </c>
      <c r="J143" s="64">
        <f t="shared" si="44"/>
        <v>850000</v>
      </c>
      <c r="K143" s="142">
        <f t="shared" si="44"/>
        <v>850000</v>
      </c>
    </row>
    <row r="144" spans="2:11" ht="15" customHeight="1">
      <c r="B144" s="42" t="s">
        <v>124</v>
      </c>
      <c r="F144" s="55">
        <f>F141+F142-F143</f>
        <v>7650000</v>
      </c>
      <c r="G144" s="64">
        <f t="shared" ref="G144:K144" si="45">G141+G142-G143</f>
        <v>6800000</v>
      </c>
      <c r="H144" s="64">
        <f t="shared" si="45"/>
        <v>5950000</v>
      </c>
      <c r="I144" s="64">
        <f t="shared" si="45"/>
        <v>5100000</v>
      </c>
      <c r="J144" s="64">
        <f t="shared" si="45"/>
        <v>4250000</v>
      </c>
      <c r="K144" s="142">
        <f t="shared" si="45"/>
        <v>3400000</v>
      </c>
    </row>
    <row r="145" spans="2:11" ht="15" customHeight="1">
      <c r="B145" s="42"/>
      <c r="F145" s="55"/>
      <c r="G145" s="64"/>
      <c r="H145" s="64"/>
      <c r="I145" s="64"/>
      <c r="J145" s="64"/>
      <c r="K145" s="142"/>
    </row>
    <row r="146" spans="2:11" ht="15" customHeight="1">
      <c r="B146" s="42" t="s">
        <v>148</v>
      </c>
      <c r="E146" s="7">
        <f>Assumption!F41</f>
        <v>6.5000000000000002E-2</v>
      </c>
      <c r="F146" s="55">
        <f t="shared" ref="F146:K146" si="46">(AVERAGE(F141,F144))*$E$146</f>
        <v>248625</v>
      </c>
      <c r="G146" s="64">
        <f t="shared" si="46"/>
        <v>469625</v>
      </c>
      <c r="H146" s="64">
        <f t="shared" si="46"/>
        <v>414375</v>
      </c>
      <c r="I146" s="64">
        <f t="shared" si="46"/>
        <v>359125</v>
      </c>
      <c r="J146" s="64">
        <f t="shared" si="46"/>
        <v>303875</v>
      </c>
      <c r="K146" s="142">
        <f t="shared" si="46"/>
        <v>248625</v>
      </c>
    </row>
    <row r="147" spans="2:11" ht="15" customHeight="1">
      <c r="B147" s="42" t="s">
        <v>149</v>
      </c>
      <c r="F147" s="55">
        <f t="shared" ref="F147:K147" si="47">F7*F146</f>
        <v>248625</v>
      </c>
      <c r="G147" s="64">
        <f t="shared" si="47"/>
        <v>469625</v>
      </c>
      <c r="H147" s="64">
        <f t="shared" si="47"/>
        <v>414375</v>
      </c>
      <c r="I147" s="64">
        <f t="shared" si="47"/>
        <v>359125</v>
      </c>
      <c r="J147" s="64">
        <f t="shared" si="47"/>
        <v>303875</v>
      </c>
      <c r="K147" s="142">
        <f t="shared" si="47"/>
        <v>248625</v>
      </c>
    </row>
    <row r="148" spans="2:11" ht="15" customHeight="1">
      <c r="B148" s="80" t="s">
        <v>150</v>
      </c>
      <c r="C148" s="52"/>
      <c r="D148" s="52"/>
      <c r="E148" s="52"/>
      <c r="F148" s="52"/>
      <c r="G148" s="160"/>
      <c r="H148" s="160"/>
      <c r="I148" s="160"/>
      <c r="J148" s="160"/>
      <c r="K148" s="161"/>
    </row>
    <row r="149" spans="2:11" ht="15" customHeight="1">
      <c r="G149" s="73"/>
      <c r="H149" s="73"/>
      <c r="I149" s="73"/>
      <c r="J149" s="73"/>
      <c r="K149" s="73"/>
    </row>
    <row r="150" spans="2:11" ht="15" customHeight="1">
      <c r="G150" s="73"/>
      <c r="H150" s="73"/>
      <c r="I150" s="73"/>
      <c r="J150" s="73"/>
      <c r="K150" s="73"/>
    </row>
    <row r="151" spans="2:11" ht="14.4">
      <c r="B151" s="93" t="s">
        <v>151</v>
      </c>
      <c r="C151" s="91"/>
      <c r="D151" s="91"/>
      <c r="E151" s="91"/>
      <c r="F151" s="91"/>
      <c r="G151" s="149"/>
      <c r="H151" s="149"/>
      <c r="I151" s="149"/>
      <c r="J151" s="149"/>
      <c r="K151" s="150"/>
    </row>
    <row r="152" spans="2:11" ht="14.4">
      <c r="B152" s="42" t="s">
        <v>37</v>
      </c>
      <c r="C152" s="2">
        <f>Assumption!C27</f>
        <v>0.25</v>
      </c>
      <c r="G152" s="73"/>
      <c r="H152" s="73"/>
      <c r="I152" s="73"/>
      <c r="J152" s="73"/>
      <c r="K152" s="148"/>
    </row>
    <row r="153" spans="2:11" ht="14.4">
      <c r="B153" s="80" t="s">
        <v>38</v>
      </c>
      <c r="C153" s="105">
        <f>Assumption!C28</f>
        <v>2</v>
      </c>
      <c r="D153" s="52"/>
      <c r="E153" s="52"/>
      <c r="F153" s="106">
        <f>(F10&gt;Assumption!$C$28)*Assumption!$C$27</f>
        <v>0</v>
      </c>
      <c r="G153" s="162">
        <f>(G10&gt;Assumption!$C$28)*Assumption!$C$27</f>
        <v>0</v>
      </c>
      <c r="H153" s="162">
        <f>(H10&gt;Assumption!$C$28)*Assumption!$C$27</f>
        <v>0.25</v>
      </c>
      <c r="I153" s="162">
        <f>(I10&gt;Assumption!$C$28)*Assumption!$C$27</f>
        <v>0.25</v>
      </c>
      <c r="J153" s="162">
        <f>(J10&gt;Assumption!$C$28)*Assumption!$C$27</f>
        <v>0.25</v>
      </c>
      <c r="K153" s="163">
        <f>(K10&gt;Assumption!$C$28)*Assumption!$C$27</f>
        <v>0.25</v>
      </c>
    </row>
    <row r="154" spans="2:11" ht="14.4"/>
    <row r="155" spans="2:11" ht="14.4">
      <c r="B155" s="5"/>
    </row>
    <row r="157" spans="2:11" ht="14.4"/>
    <row r="158" spans="2:11" ht="15" customHeight="1">
      <c r="B158" s="1"/>
      <c r="C158" s="1"/>
      <c r="D158" s="1"/>
      <c r="E158" s="1"/>
    </row>
    <row r="159" spans="2:11" ht="15" customHeight="1">
      <c r="E159" s="2"/>
    </row>
    <row r="160" spans="2:11" ht="15" customHeight="1">
      <c r="E160" s="2"/>
    </row>
    <row r="161" spans="2:5" ht="15" customHeight="1">
      <c r="E161" s="2"/>
    </row>
    <row r="163" spans="2:5" ht="15" customHeight="1">
      <c r="B163" s="1"/>
    </row>
  </sheetData>
  <conditionalFormatting sqref="F6:K7">
    <cfRule type="containsText" dxfId="5" priority="3" operator="containsText" text="TRUE">
      <formula>NOT(ISERROR(SEARCH("TRUE",F6)))</formula>
    </cfRule>
    <cfRule type="containsText" dxfId="4" priority="4" operator="containsText" text="FALSE">
      <formula>NOT(ISERROR(SEARCH("FALSE",F6)))</formula>
    </cfRule>
  </conditionalFormatting>
  <conditionalFormatting sqref="F137:K137">
    <cfRule type="containsText" dxfId="3" priority="1" operator="containsText" text="TRUE">
      <formula>NOT(ISERROR(SEARCH("TRUE",F137)))</formula>
    </cfRule>
    <cfRule type="containsText" dxfId="2" priority="2" operator="containsText" text="FALSE">
      <formula>NOT(ISERROR(SEARCH("FALSE",F137)))</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512DBD-59F3-40A1-B872-D2645276D551}">
  <dimension ref="A2:Q24"/>
  <sheetViews>
    <sheetView showGridLines="0" zoomScale="88" workbookViewId="0">
      <pane ySplit="3" topLeftCell="A4" activePane="bottomLeft" state="frozen"/>
      <selection pane="bottomLeft" activeCell="K12" sqref="K12"/>
    </sheetView>
  </sheetViews>
  <sheetFormatPr defaultColWidth="8.77734375" defaultRowHeight="14.4"/>
  <cols>
    <col min="1" max="1" width="1.77734375" customWidth="1"/>
    <col min="2" max="2" width="31.33203125" bestFit="1" customWidth="1"/>
    <col min="3" max="3" width="2.6640625" customWidth="1"/>
    <col min="4" max="9" width="16.6640625" customWidth="1"/>
  </cols>
  <sheetData>
    <row r="2" spans="2:10">
      <c r="B2" s="186" t="s">
        <v>152</v>
      </c>
      <c r="C2" s="186"/>
      <c r="D2" s="186"/>
      <c r="E2" s="186"/>
      <c r="F2" s="186"/>
      <c r="G2" s="186"/>
      <c r="H2" s="186"/>
      <c r="I2" s="186"/>
    </row>
    <row r="3" spans="2:10">
      <c r="B3" s="60"/>
      <c r="C3" s="60"/>
      <c r="D3" s="59">
        <v>2024</v>
      </c>
      <c r="E3" s="59">
        <v>2025</v>
      </c>
      <c r="F3" s="59">
        <v>2026</v>
      </c>
      <c r="G3" s="59">
        <v>2027</v>
      </c>
      <c r="H3" s="59">
        <v>2028</v>
      </c>
      <c r="I3" s="59">
        <v>2029</v>
      </c>
    </row>
    <row r="4" spans="2:10">
      <c r="D4" s="43"/>
      <c r="E4" s="43"/>
      <c r="F4" s="43"/>
      <c r="G4" s="43"/>
      <c r="H4" s="43"/>
      <c r="I4" s="43"/>
    </row>
    <row r="5" spans="2:10">
      <c r="B5" t="s">
        <v>69</v>
      </c>
      <c r="D5" s="55">
        <f>Schedules!F24</f>
        <v>230225894.32485324</v>
      </c>
      <c r="E5" s="64">
        <f>Schedules!G24</f>
        <v>334000603.6790607</v>
      </c>
      <c r="F5" s="64">
        <f>Schedules!H24</f>
        <v>484584688.66379654</v>
      </c>
      <c r="G5" s="64">
        <f>Schedules!I24</f>
        <v>703113252.42232502</v>
      </c>
      <c r="H5" s="64">
        <f>Schedules!J24</f>
        <v>1020071658.2534347</v>
      </c>
      <c r="I5" s="64">
        <f>Schedules!K24</f>
        <v>1479662413.8840051</v>
      </c>
    </row>
    <row r="6" spans="2:10">
      <c r="B6" t="s">
        <v>215</v>
      </c>
      <c r="C6" s="2"/>
      <c r="D6" s="55">
        <f>Schedules!F40+Schedules!F43</f>
        <v>133581646.73189828</v>
      </c>
      <c r="E6" s="64">
        <f>Schedules!G40+Schedules!G43</f>
        <v>184722278.60665366</v>
      </c>
      <c r="F6" s="64">
        <f>Schedules!H40+Schedules!H43</f>
        <v>255496487.25792572</v>
      </c>
      <c r="G6" s="64">
        <f>Schedules!I40+Schedules!I43</f>
        <v>353474589.2855913</v>
      </c>
      <c r="H6" s="64">
        <f>Schedules!J40+Schedules!J43</f>
        <v>488929377.22109425</v>
      </c>
      <c r="I6" s="64">
        <f>Schedules!K40+Schedules!K43</f>
        <v>676059027.30127251</v>
      </c>
    </row>
    <row r="7" spans="2:10">
      <c r="B7" s="1" t="s">
        <v>153</v>
      </c>
      <c r="C7" s="46"/>
      <c r="D7" s="57">
        <f t="shared" ref="D7:I7" si="0">D5-D6</f>
        <v>96644247.592954963</v>
      </c>
      <c r="E7" s="65">
        <f t="shared" si="0"/>
        <v>149278325.07240704</v>
      </c>
      <c r="F7" s="65">
        <f t="shared" si="0"/>
        <v>229088201.40587083</v>
      </c>
      <c r="G7" s="65">
        <f t="shared" si="0"/>
        <v>349638663.13673371</v>
      </c>
      <c r="H7" s="65">
        <f t="shared" si="0"/>
        <v>531142281.03234041</v>
      </c>
      <c r="I7" s="65">
        <f t="shared" si="0"/>
        <v>803603386.58273256</v>
      </c>
    </row>
    <row r="8" spans="2:10">
      <c r="B8" s="1"/>
      <c r="C8" s="46"/>
      <c r="D8" s="57"/>
      <c r="E8" s="65"/>
      <c r="F8" s="65"/>
      <c r="G8" s="65"/>
      <c r="H8" s="65"/>
      <c r="I8" s="65"/>
    </row>
    <row r="9" spans="2:10">
      <c r="B9" t="s">
        <v>216</v>
      </c>
      <c r="D9" s="55">
        <f>Schedules!F57</f>
        <v>98997134.559686884</v>
      </c>
      <c r="E9" s="64">
        <f>Schedules!G57</f>
        <v>143620259.58199608</v>
      </c>
      <c r="F9" s="64">
        <f>Schedules!H57</f>
        <v>208371416.12543249</v>
      </c>
      <c r="G9" s="64">
        <f>Schedules!I57</f>
        <v>302338698.54159975</v>
      </c>
      <c r="H9" s="64">
        <f>Schedules!J57</f>
        <v>438630813.0489769</v>
      </c>
      <c r="I9" s="64">
        <f>Schedules!K57</f>
        <v>636254837.9701221</v>
      </c>
    </row>
    <row r="10" spans="2:10">
      <c r="B10" s="1" t="s">
        <v>154</v>
      </c>
      <c r="C10" s="48"/>
      <c r="D10" s="57">
        <f t="shared" ref="D10:I10" si="1">D7-D9</f>
        <v>-2352886.9667319208</v>
      </c>
      <c r="E10" s="65">
        <f t="shared" si="1"/>
        <v>5658065.4904109538</v>
      </c>
      <c r="F10" s="65">
        <f t="shared" si="1"/>
        <v>20716785.280438334</v>
      </c>
      <c r="G10" s="65">
        <f t="shared" si="1"/>
        <v>47299964.59513396</v>
      </c>
      <c r="H10" s="65">
        <f t="shared" si="1"/>
        <v>92511467.983363509</v>
      </c>
      <c r="I10" s="65">
        <f t="shared" si="1"/>
        <v>167348548.61261046</v>
      </c>
    </row>
    <row r="11" spans="2:10">
      <c r="B11" s="1"/>
      <c r="C11" s="48"/>
      <c r="D11" s="57"/>
      <c r="E11" s="65"/>
      <c r="F11" s="65"/>
      <c r="G11" s="65"/>
      <c r="H11" s="65"/>
      <c r="I11" s="65"/>
    </row>
    <row r="12" spans="2:10">
      <c r="B12" t="s">
        <v>217</v>
      </c>
      <c r="C12" s="2"/>
      <c r="D12" s="55">
        <f>Schedules!F94</f>
        <v>5608000.0000000009</v>
      </c>
      <c r="E12" s="64">
        <f>Schedules!G94</f>
        <v>5608000.0000000009</v>
      </c>
      <c r="F12" s="64">
        <f>Schedules!H94</f>
        <v>5608000.0000000009</v>
      </c>
      <c r="G12" s="64">
        <f>Schedules!I94</f>
        <v>5608000.0000000009</v>
      </c>
      <c r="H12" s="64">
        <f>Schedules!J94</f>
        <v>5608000.0000000009</v>
      </c>
      <c r="I12" s="64">
        <f>Schedules!K94</f>
        <v>5608000.0000000009</v>
      </c>
      <c r="J12" s="9"/>
    </row>
    <row r="13" spans="2:10">
      <c r="B13" s="1" t="s">
        <v>155</v>
      </c>
      <c r="C13" s="1"/>
      <c r="D13" s="57">
        <f t="shared" ref="D13:I13" si="2">D10-D12</f>
        <v>-7960886.9667319218</v>
      </c>
      <c r="E13" s="65">
        <f t="shared" si="2"/>
        <v>50065.490410952829</v>
      </c>
      <c r="F13" s="65">
        <f t="shared" si="2"/>
        <v>15108785.280438334</v>
      </c>
      <c r="G13" s="65">
        <f t="shared" si="2"/>
        <v>41691964.59513396</v>
      </c>
      <c r="H13" s="65">
        <f t="shared" si="2"/>
        <v>86903467.983363509</v>
      </c>
      <c r="I13" s="65">
        <f t="shared" si="2"/>
        <v>161740548.61261046</v>
      </c>
    </row>
    <row r="14" spans="2:10">
      <c r="B14" s="1"/>
      <c r="C14" s="1"/>
      <c r="D14" s="57"/>
      <c r="E14" s="65"/>
      <c r="F14" s="65"/>
      <c r="G14" s="65"/>
      <c r="H14" s="65"/>
      <c r="I14" s="65"/>
    </row>
    <row r="15" spans="2:10">
      <c r="B15" t="s">
        <v>218</v>
      </c>
      <c r="C15" s="50"/>
      <c r="D15" s="55">
        <f>'Balance Sheet'!D17*'Income Statement'!$C$15</f>
        <v>0</v>
      </c>
      <c r="E15" s="64">
        <f>Schedules!G147</f>
        <v>469625</v>
      </c>
      <c r="F15" s="64">
        <f>Schedules!H147</f>
        <v>414375</v>
      </c>
      <c r="G15" s="64">
        <f>Schedules!I147</f>
        <v>359125</v>
      </c>
      <c r="H15" s="64">
        <f>Schedules!J147</f>
        <v>303875</v>
      </c>
      <c r="I15" s="64">
        <f>Schedules!K147</f>
        <v>248625</v>
      </c>
    </row>
    <row r="16" spans="2:10">
      <c r="B16" s="1" t="s">
        <v>156</v>
      </c>
      <c r="D16" s="57">
        <f t="shared" ref="D16:I16" si="3">D13-D15</f>
        <v>-7960886.9667319218</v>
      </c>
      <c r="E16" s="65">
        <f t="shared" si="3"/>
        <v>-419559.50958904717</v>
      </c>
      <c r="F16" s="65">
        <f t="shared" si="3"/>
        <v>14694410.280438334</v>
      </c>
      <c r="G16" s="65">
        <f t="shared" si="3"/>
        <v>41332839.59513396</v>
      </c>
      <c r="H16" s="65">
        <f t="shared" si="3"/>
        <v>86599592.983363509</v>
      </c>
      <c r="I16" s="65">
        <f t="shared" si="3"/>
        <v>161491923.61261046</v>
      </c>
    </row>
    <row r="17" spans="1:17">
      <c r="B17" t="s">
        <v>219</v>
      </c>
      <c r="C17" s="2"/>
      <c r="D17" s="55">
        <f>D16*Schedules!F153</f>
        <v>0</v>
      </c>
      <c r="E17" s="64">
        <f>E16*Schedules!G153</f>
        <v>0</v>
      </c>
      <c r="F17" s="64">
        <f>F16*Schedules!H153</f>
        <v>3673602.5701095834</v>
      </c>
      <c r="G17" s="64">
        <f>G16*Schedules!I153</f>
        <v>10333209.89878349</v>
      </c>
      <c r="H17" s="64">
        <f>H16*Schedules!J153</f>
        <v>21649898.245840877</v>
      </c>
      <c r="I17" s="64">
        <f>I16*Schedules!K153</f>
        <v>40372980.903152615</v>
      </c>
      <c r="K17" s="7"/>
      <c r="L17" s="7"/>
      <c r="M17" s="7"/>
      <c r="N17" s="7"/>
      <c r="O17" s="7"/>
      <c r="P17" s="9"/>
      <c r="Q17" s="7"/>
    </row>
    <row r="18" spans="1:17" ht="15" thickBot="1">
      <c r="C18" s="2"/>
      <c r="D18" s="55"/>
      <c r="E18" s="64"/>
      <c r="F18" s="64"/>
      <c r="G18" s="64"/>
      <c r="H18" s="64"/>
      <c r="I18" s="64"/>
      <c r="K18" s="7"/>
      <c r="L18" s="7"/>
      <c r="M18" s="7"/>
      <c r="N18" s="7"/>
      <c r="O18" s="7"/>
      <c r="P18" s="9"/>
      <c r="Q18" s="7"/>
    </row>
    <row r="19" spans="1:17" ht="15" thickBot="1">
      <c r="B19" s="61" t="s">
        <v>157</v>
      </c>
      <c r="C19" s="62"/>
      <c r="D19" s="63">
        <f t="shared" ref="D19:I19" si="4">D16-IF(D17&lt;0,0,D17)</f>
        <v>-7960886.9667319218</v>
      </c>
      <c r="E19" s="66">
        <f t="shared" si="4"/>
        <v>-419559.50958904717</v>
      </c>
      <c r="F19" s="66">
        <f t="shared" si="4"/>
        <v>11020807.71032875</v>
      </c>
      <c r="G19" s="66">
        <f t="shared" si="4"/>
        <v>30999629.69635047</v>
      </c>
      <c r="H19" s="66">
        <f t="shared" si="4"/>
        <v>64949694.737522632</v>
      </c>
      <c r="I19" s="66">
        <f t="shared" si="4"/>
        <v>121118942.70945784</v>
      </c>
    </row>
    <row r="20" spans="1:17" ht="15" thickTop="1">
      <c r="B20" s="1"/>
      <c r="D20" s="49"/>
      <c r="E20" s="67"/>
      <c r="F20" s="67"/>
      <c r="G20" s="67"/>
      <c r="H20" s="67"/>
      <c r="I20" s="67"/>
    </row>
    <row r="21" spans="1:17">
      <c r="B21" s="1" t="s">
        <v>158</v>
      </c>
      <c r="D21" s="57">
        <f t="shared" ref="D21:I21" si="5">D19+C21</f>
        <v>-7960886.9667319218</v>
      </c>
      <c r="E21" s="65">
        <f t="shared" si="5"/>
        <v>-8380446.4763209689</v>
      </c>
      <c r="F21" s="65">
        <f t="shared" si="5"/>
        <v>2640361.2340077814</v>
      </c>
      <c r="G21" s="65">
        <f t="shared" si="5"/>
        <v>33639990.930358253</v>
      </c>
      <c r="H21" s="65">
        <f t="shared" si="5"/>
        <v>98589685.667880893</v>
      </c>
      <c r="I21" s="65">
        <f t="shared" si="5"/>
        <v>219708628.37733874</v>
      </c>
    </row>
    <row r="24" spans="1:17">
      <c r="A24" s="13"/>
    </row>
  </sheetData>
  <mergeCells count="1">
    <mergeCell ref="B2:I2"/>
  </mergeCells>
  <pageMargins left="0.7" right="0.7" top="0.75" bottom="0.75" header="0.3" footer="0.3"/>
  <ignoredErrors>
    <ignoredError sqref="D15:I15 D9:I10 D12:I13" 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9BD2F5-14F5-41C7-8EEE-B1A897966086}">
  <dimension ref="B2:K30"/>
  <sheetViews>
    <sheetView showGridLines="0" zoomScale="86" workbookViewId="0">
      <pane ySplit="3" topLeftCell="A4" activePane="bottomLeft" state="frozen"/>
      <selection pane="bottomLeft" activeCell="H37" sqref="H37"/>
    </sheetView>
  </sheetViews>
  <sheetFormatPr defaultColWidth="8.77734375" defaultRowHeight="14.4"/>
  <cols>
    <col min="1" max="1" width="1.77734375" customWidth="1"/>
    <col min="2" max="2" width="28.44140625" customWidth="1"/>
    <col min="3" max="3" width="7.33203125" customWidth="1"/>
    <col min="4" max="9" width="14.109375" customWidth="1"/>
    <col min="10" max="10" width="16.33203125" bestFit="1" customWidth="1"/>
    <col min="12" max="12" width="14.33203125" customWidth="1"/>
  </cols>
  <sheetData>
    <row r="2" spans="2:9">
      <c r="B2" s="186" t="s">
        <v>159</v>
      </c>
      <c r="C2" s="186"/>
      <c r="D2" s="186"/>
      <c r="E2" s="186"/>
      <c r="F2" s="186"/>
      <c r="G2" s="186"/>
      <c r="H2" s="186"/>
      <c r="I2" s="186"/>
    </row>
    <row r="3" spans="2:9">
      <c r="B3" s="60"/>
      <c r="C3" s="60"/>
      <c r="D3" s="59">
        <v>2024</v>
      </c>
      <c r="E3" s="59">
        <v>2025</v>
      </c>
      <c r="F3" s="59">
        <v>2026</v>
      </c>
      <c r="G3" s="59">
        <v>2027</v>
      </c>
      <c r="H3" s="59">
        <v>2028</v>
      </c>
      <c r="I3" s="59">
        <v>2029</v>
      </c>
    </row>
    <row r="4" spans="2:9">
      <c r="B4" s="5"/>
      <c r="D4" s="1"/>
      <c r="E4" s="1"/>
      <c r="F4" s="1"/>
      <c r="G4" s="1"/>
      <c r="H4" s="1"/>
      <c r="I4" s="1"/>
    </row>
    <row r="5" spans="2:9">
      <c r="B5" s="3" t="s">
        <v>163</v>
      </c>
      <c r="D5" s="55"/>
      <c r="E5" s="55"/>
      <c r="F5" s="55"/>
      <c r="G5" s="55"/>
      <c r="H5" s="55"/>
      <c r="I5" s="55"/>
    </row>
    <row r="6" spans="2:9">
      <c r="B6" s="4" t="s">
        <v>132</v>
      </c>
      <c r="D6" s="55">
        <f>Schedules!F101</f>
        <v>91392000</v>
      </c>
      <c r="E6" s="64">
        <f>Schedules!G101</f>
        <v>216784000</v>
      </c>
      <c r="F6" s="64">
        <f>Schedules!H101</f>
        <v>365176000</v>
      </c>
      <c r="G6" s="64">
        <f>Schedules!I101</f>
        <v>525568000</v>
      </c>
      <c r="H6" s="64">
        <f>Schedules!J101</f>
        <v>687960000</v>
      </c>
      <c r="I6" s="64">
        <f>Schedules!K101</f>
        <v>852352000</v>
      </c>
    </row>
    <row r="7" spans="2:9">
      <c r="B7" s="4" t="s">
        <v>120</v>
      </c>
      <c r="D7" s="55">
        <f>Schedules!F82</f>
        <v>0</v>
      </c>
      <c r="E7" s="64">
        <f>Schedules!G82</f>
        <v>0</v>
      </c>
      <c r="F7" s="64">
        <f>Schedules!H82</f>
        <v>0</v>
      </c>
      <c r="G7" s="64">
        <f>Schedules!I82</f>
        <v>0</v>
      </c>
      <c r="H7" s="64">
        <f>Schedules!J82</f>
        <v>0</v>
      </c>
      <c r="I7" s="64">
        <f>Schedules!K82</f>
        <v>0</v>
      </c>
    </row>
    <row r="8" spans="2:9">
      <c r="B8" s="1"/>
      <c r="E8" s="73"/>
      <c r="F8" s="73"/>
      <c r="G8" s="73"/>
      <c r="H8" s="73"/>
      <c r="I8" s="73"/>
    </row>
    <row r="9" spans="2:9">
      <c r="B9" s="3" t="s">
        <v>160</v>
      </c>
      <c r="E9" s="73"/>
      <c r="F9" s="73"/>
      <c r="G9" s="73"/>
      <c r="H9" s="73"/>
      <c r="I9" s="73"/>
    </row>
    <row r="10" spans="2:9">
      <c r="B10" s="4" t="s">
        <v>161</v>
      </c>
      <c r="D10" s="55">
        <f>'Cash Flow Statement'!D26</f>
        <v>-8533693.2177036852</v>
      </c>
      <c r="E10" s="64">
        <f>'Cash Flow Statement'!E26</f>
        <v>-66161448.338047907</v>
      </c>
      <c r="F10" s="64">
        <f>'Cash Flow Statement'!F26</f>
        <v>-210729364.59062469</v>
      </c>
      <c r="G10" s="64">
        <f>'Cash Flow Statement'!G26</f>
        <v>-350996591.44301188</v>
      </c>
      <c r="H10" s="64">
        <f>'Cash Flow Statement'!H26</f>
        <v>-464976848.73537374</v>
      </c>
      <c r="I10" s="64">
        <f>'Cash Flow Statement'!I26</f>
        <v>-533449284.46080643</v>
      </c>
    </row>
    <row r="11" spans="2:9">
      <c r="B11" s="4" t="s">
        <v>62</v>
      </c>
      <c r="D11" s="55">
        <f>Schedules!F62</f>
        <v>9884732.1722113527</v>
      </c>
      <c r="E11" s="64">
        <f>Schedules!G62</f>
        <v>13666804.352250494</v>
      </c>
      <c r="F11" s="64">
        <f>Schedules!H62</f>
        <v>18899541.88858448</v>
      </c>
      <c r="G11" s="64">
        <f>Schedules!I62</f>
        <v>26141504.775284071</v>
      </c>
      <c r="H11" s="64">
        <f>Schedules!J62</f>
        <v>36152203.796388663</v>
      </c>
      <c r="I11" s="64">
        <f>Schedules!K62</f>
        <v>49981265.803444564</v>
      </c>
    </row>
    <row r="12" spans="2:9">
      <c r="B12" s="4" t="s">
        <v>162</v>
      </c>
      <c r="D12" s="55">
        <f>Schedules!F61</f>
        <v>28384014.368817523</v>
      </c>
      <c r="E12" s="64">
        <f>Schedules!G61</f>
        <v>41178156.617966391</v>
      </c>
      <c r="F12" s="64">
        <f>Schedules!H61</f>
        <v>59743317.780468069</v>
      </c>
      <c r="G12" s="64">
        <f>Schedules!I61</f>
        <v>86685195.504122272</v>
      </c>
      <c r="H12" s="64">
        <f>Schedules!J61</f>
        <v>125762259.23672482</v>
      </c>
      <c r="I12" s="64">
        <f>Schedules!K61</f>
        <v>182424133.21857598</v>
      </c>
    </row>
    <row r="13" spans="2:9" ht="15" thickBot="1">
      <c r="B13" s="4"/>
      <c r="D13" s="55"/>
      <c r="E13" s="64"/>
      <c r="F13" s="64"/>
      <c r="G13" s="64"/>
      <c r="H13" s="64"/>
      <c r="I13" s="64"/>
    </row>
    <row r="14" spans="2:9" ht="15" thickBot="1">
      <c r="B14" s="68" t="s">
        <v>164</v>
      </c>
      <c r="C14" s="69"/>
      <c r="D14" s="70">
        <f t="shared" ref="D14:I14" si="0">SUM(D10:D12,D6:D7)</f>
        <v>121127053.32332519</v>
      </c>
      <c r="E14" s="74">
        <f t="shared" si="0"/>
        <v>205467512.63216898</v>
      </c>
      <c r="F14" s="74">
        <f t="shared" si="0"/>
        <v>233089495.07842788</v>
      </c>
      <c r="G14" s="74">
        <f t="shared" si="0"/>
        <v>287398108.83639443</v>
      </c>
      <c r="H14" s="74">
        <f t="shared" si="0"/>
        <v>384897614.29773974</v>
      </c>
      <c r="I14" s="74">
        <f t="shared" si="0"/>
        <v>551308114.56121409</v>
      </c>
    </row>
    <row r="15" spans="2:9">
      <c r="B15" s="71"/>
      <c r="D15" s="57"/>
      <c r="E15" s="65"/>
      <c r="F15" s="65"/>
      <c r="G15" s="65"/>
      <c r="H15" s="65"/>
      <c r="I15" s="65"/>
    </row>
    <row r="16" spans="2:9">
      <c r="B16" s="1" t="s">
        <v>168</v>
      </c>
      <c r="D16" s="55"/>
      <c r="E16" s="64"/>
      <c r="F16" s="64"/>
      <c r="G16" s="64"/>
      <c r="H16" s="64"/>
      <c r="I16" s="64"/>
    </row>
    <row r="17" spans="2:11">
      <c r="B17" t="s">
        <v>169</v>
      </c>
      <c r="D17" s="55">
        <f>Schedules!F144</f>
        <v>7650000</v>
      </c>
      <c r="E17" s="64">
        <f>Schedules!G144</f>
        <v>6800000</v>
      </c>
      <c r="F17" s="64">
        <f>Schedules!H144</f>
        <v>5950000</v>
      </c>
      <c r="G17" s="64">
        <f>Schedules!I144</f>
        <v>5100000</v>
      </c>
      <c r="H17" s="64">
        <f>Schedules!J144</f>
        <v>4250000</v>
      </c>
      <c r="I17" s="64">
        <f>Schedules!K144</f>
        <v>3400000</v>
      </c>
    </row>
    <row r="18" spans="2:11">
      <c r="B18" t="s">
        <v>170</v>
      </c>
      <c r="D18" s="55">
        <f>Schedules!F134</f>
        <v>0</v>
      </c>
      <c r="E18" s="64">
        <f>Schedules!G134</f>
        <v>25500000</v>
      </c>
      <c r="F18" s="64">
        <f>Schedules!H134</f>
        <v>25500000</v>
      </c>
      <c r="G18" s="64">
        <f>Schedules!I134</f>
        <v>25500000</v>
      </c>
      <c r="H18" s="64">
        <f>Schedules!J134</f>
        <v>25500000</v>
      </c>
      <c r="I18" s="64">
        <f>Schedules!K134</f>
        <v>25500000</v>
      </c>
    </row>
    <row r="19" spans="2:11">
      <c r="B19" s="71"/>
      <c r="D19" s="57"/>
      <c r="E19" s="65"/>
      <c r="F19" s="65"/>
      <c r="G19" s="65"/>
      <c r="H19" s="65"/>
      <c r="I19" s="65"/>
    </row>
    <row r="20" spans="2:11">
      <c r="B20" s="1" t="s">
        <v>116</v>
      </c>
      <c r="D20" s="55"/>
      <c r="E20" s="64"/>
      <c r="F20" s="64"/>
      <c r="G20" s="64"/>
      <c r="H20" s="64"/>
      <c r="I20" s="64"/>
    </row>
    <row r="21" spans="2:11">
      <c r="B21" t="s">
        <v>167</v>
      </c>
      <c r="D21" s="55">
        <f>Schedules!F65</f>
        <v>32937940.290057112</v>
      </c>
      <c r="E21" s="64">
        <f>Schedules!G65</f>
        <v>45547959.108489946</v>
      </c>
      <c r="F21" s="64">
        <f>Schedules!H65</f>
        <v>62999133.844420046</v>
      </c>
      <c r="G21" s="64">
        <f>Schedules!I65</f>
        <v>87158117.906036213</v>
      </c>
      <c r="H21" s="64">
        <f>Schedules!J65</f>
        <v>120557928.62985887</v>
      </c>
      <c r="I21" s="64">
        <f>Schedules!K65</f>
        <v>166699486.18387541</v>
      </c>
    </row>
    <row r="22" spans="2:11">
      <c r="D22" s="55"/>
      <c r="E22" s="64"/>
      <c r="F22" s="64"/>
      <c r="G22" s="64"/>
      <c r="H22" s="64"/>
      <c r="I22" s="64"/>
    </row>
    <row r="23" spans="2:11">
      <c r="B23" s="1" t="s">
        <v>222</v>
      </c>
      <c r="D23" s="55"/>
      <c r="E23" s="64"/>
      <c r="F23" s="64"/>
      <c r="G23" s="64"/>
      <c r="H23" s="64"/>
      <c r="I23" s="64"/>
    </row>
    <row r="24" spans="2:11">
      <c r="B24" t="s">
        <v>165</v>
      </c>
      <c r="D24" s="55">
        <f>Schedules!F128</f>
        <v>88500000</v>
      </c>
      <c r="E24" s="64">
        <f>Schedules!G128</f>
        <v>136000000</v>
      </c>
      <c r="F24" s="64">
        <f>Schedules!H128</f>
        <v>136000000</v>
      </c>
      <c r="G24" s="64">
        <f>Schedules!I128</f>
        <v>136000000</v>
      </c>
      <c r="H24" s="64">
        <f>Schedules!J128</f>
        <v>136000000</v>
      </c>
      <c r="I24" s="64">
        <f>Schedules!K128</f>
        <v>136000000</v>
      </c>
    </row>
    <row r="25" spans="2:11">
      <c r="B25" t="s">
        <v>166</v>
      </c>
      <c r="D25" s="55">
        <f>'Income Statement'!D21</f>
        <v>-7960886.9667319218</v>
      </c>
      <c r="E25" s="64">
        <f>'Income Statement'!E21</f>
        <v>-8380446.4763209689</v>
      </c>
      <c r="F25" s="64">
        <f>'Income Statement'!F21</f>
        <v>2640361.2340077814</v>
      </c>
      <c r="G25" s="64">
        <f>'Income Statement'!G21</f>
        <v>33639990.930358253</v>
      </c>
      <c r="H25" s="64">
        <f>'Income Statement'!H21</f>
        <v>98589685.667880893</v>
      </c>
      <c r="I25" s="64">
        <f>'Income Statement'!I21</f>
        <v>219708628.37733874</v>
      </c>
    </row>
    <row r="26" spans="2:11" ht="15" thickBot="1">
      <c r="E26" s="73"/>
      <c r="F26" s="73"/>
      <c r="G26" s="73"/>
      <c r="H26" s="73"/>
      <c r="I26" s="73"/>
    </row>
    <row r="27" spans="2:11" ht="15" thickBot="1">
      <c r="B27" s="72" t="s">
        <v>171</v>
      </c>
      <c r="C27" s="69"/>
      <c r="D27" s="70">
        <f>SUM(D17:D25)</f>
        <v>121127053.32332519</v>
      </c>
      <c r="E27" s="74">
        <f t="shared" ref="E27:I27" si="1">SUM(E17:E25)</f>
        <v>205467512.63216895</v>
      </c>
      <c r="F27" s="74">
        <f t="shared" si="1"/>
        <v>233089495.07842782</v>
      </c>
      <c r="G27" s="74">
        <f t="shared" si="1"/>
        <v>287398108.83639443</v>
      </c>
      <c r="H27" s="74">
        <f t="shared" si="1"/>
        <v>384897614.29773974</v>
      </c>
      <c r="I27" s="74">
        <f t="shared" si="1"/>
        <v>551308114.56121421</v>
      </c>
    </row>
    <row r="28" spans="2:11">
      <c r="B28" s="1"/>
      <c r="D28" s="55"/>
      <c r="E28" s="55"/>
      <c r="F28" s="55"/>
      <c r="G28" s="55"/>
      <c r="H28" s="55"/>
      <c r="I28" s="55"/>
    </row>
    <row r="29" spans="2:11">
      <c r="D29" t="b">
        <f t="shared" ref="D29:I29" si="2">D27=D14</f>
        <v>1</v>
      </c>
      <c r="E29" t="b">
        <f t="shared" si="2"/>
        <v>1</v>
      </c>
      <c r="F29" t="b">
        <f t="shared" si="2"/>
        <v>1</v>
      </c>
      <c r="G29" t="b">
        <f t="shared" si="2"/>
        <v>1</v>
      </c>
      <c r="H29" t="b">
        <f t="shared" si="2"/>
        <v>1</v>
      </c>
      <c r="I29" t="b">
        <f t="shared" si="2"/>
        <v>1</v>
      </c>
    </row>
    <row r="30" spans="2:11">
      <c r="K30" s="9"/>
    </row>
  </sheetData>
  <mergeCells count="1">
    <mergeCell ref="B2:I2"/>
  </mergeCells>
  <conditionalFormatting sqref="D29:I29">
    <cfRule type="containsText" dxfId="1" priority="1" operator="containsText" text="TRUE">
      <formula>NOT(ISERROR(SEARCH("TRUE",D29)))</formula>
    </cfRule>
    <cfRule type="containsText" dxfId="0" priority="2" operator="containsText" text="FALSE">
      <formula>NOT(ISERROR(SEARCH("FALSE",D29)))</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46C6A-0E1F-41B5-B85F-0F29D2A04AE6}">
  <dimension ref="B2:I27"/>
  <sheetViews>
    <sheetView showGridLines="0" zoomScale="89" workbookViewId="0">
      <pane ySplit="3" topLeftCell="A9" activePane="bottomLeft" state="frozen"/>
      <selection pane="bottomLeft" activeCell="D8" sqref="D8"/>
    </sheetView>
  </sheetViews>
  <sheetFormatPr defaultColWidth="18.33203125" defaultRowHeight="14.4"/>
  <cols>
    <col min="1" max="1" width="1.77734375" customWidth="1"/>
    <col min="2" max="2" width="29.6640625" bestFit="1" customWidth="1"/>
    <col min="3" max="3" width="9.77734375" customWidth="1"/>
    <col min="4" max="4" width="15.33203125" customWidth="1"/>
    <col min="5" max="5" width="15" customWidth="1"/>
    <col min="6" max="6" width="15.6640625" customWidth="1"/>
    <col min="7" max="7" width="16.33203125" customWidth="1"/>
    <col min="8" max="8" width="16.44140625" customWidth="1"/>
    <col min="9" max="9" width="16.109375" customWidth="1"/>
    <col min="11" max="11" width="32.109375" bestFit="1" customWidth="1"/>
  </cols>
  <sheetData>
    <row r="2" spans="2:9">
      <c r="B2" s="186" t="s">
        <v>223</v>
      </c>
      <c r="C2" s="186"/>
      <c r="D2" s="186"/>
      <c r="E2" s="186"/>
      <c r="F2" s="186"/>
      <c r="G2" s="186"/>
      <c r="H2" s="186"/>
      <c r="I2" s="186"/>
    </row>
    <row r="3" spans="2:9">
      <c r="B3" s="60"/>
      <c r="C3" s="60"/>
      <c r="D3" s="59">
        <v>2024</v>
      </c>
      <c r="E3" s="59">
        <v>2025</v>
      </c>
      <c r="F3" s="59">
        <v>2026</v>
      </c>
      <c r="G3" s="59">
        <v>2027</v>
      </c>
      <c r="H3" s="59">
        <v>2028</v>
      </c>
      <c r="I3" s="59">
        <v>2029</v>
      </c>
    </row>
    <row r="5" spans="2:9">
      <c r="B5" t="s">
        <v>172</v>
      </c>
      <c r="D5" s="55">
        <f>'Income Statement'!D19</f>
        <v>-7960886.9667319218</v>
      </c>
      <c r="E5" s="64">
        <f>'Income Statement'!E19</f>
        <v>-419559.50958904717</v>
      </c>
      <c r="F5" s="64">
        <f>'Income Statement'!F19</f>
        <v>11020807.71032875</v>
      </c>
      <c r="G5" s="64">
        <f>'Income Statement'!G19</f>
        <v>30999629.69635047</v>
      </c>
      <c r="H5" s="64">
        <f>'Income Statement'!H19</f>
        <v>64949694.737522632</v>
      </c>
      <c r="I5" s="64">
        <f>'Income Statement'!I19</f>
        <v>121118942.70945784</v>
      </c>
    </row>
    <row r="6" spans="2:9">
      <c r="B6" t="s">
        <v>224</v>
      </c>
      <c r="D6" s="55">
        <f>Schedules!F147</f>
        <v>248625</v>
      </c>
      <c r="E6" s="64">
        <f>Schedules!G147</f>
        <v>469625</v>
      </c>
      <c r="F6" s="64">
        <f>Schedules!H147</f>
        <v>414375</v>
      </c>
      <c r="G6" s="64">
        <f>Schedules!I147</f>
        <v>359125</v>
      </c>
      <c r="H6" s="64">
        <f>Schedules!J147</f>
        <v>303875</v>
      </c>
      <c r="I6" s="64">
        <f>Schedules!K147</f>
        <v>248625</v>
      </c>
    </row>
    <row r="7" spans="2:9">
      <c r="B7" t="s">
        <v>174</v>
      </c>
      <c r="D7" s="55">
        <f>'Income Statement'!D12</f>
        <v>5608000.0000000009</v>
      </c>
      <c r="E7" s="64">
        <f>'Income Statement'!E12</f>
        <v>5608000.0000000009</v>
      </c>
      <c r="F7" s="64">
        <f>'Income Statement'!F12</f>
        <v>5608000.0000000009</v>
      </c>
      <c r="G7" s="64">
        <f>'Income Statement'!G12</f>
        <v>5608000.0000000009</v>
      </c>
      <c r="H7" s="64">
        <f>'Income Statement'!H12</f>
        <v>5608000.0000000009</v>
      </c>
      <c r="I7" s="64">
        <f>'Income Statement'!I12</f>
        <v>5608000.0000000009</v>
      </c>
    </row>
    <row r="8" spans="2:9">
      <c r="B8" t="s">
        <v>175</v>
      </c>
      <c r="D8" s="55">
        <f>Schedules!F69</f>
        <v>-5330806.2509717606</v>
      </c>
      <c r="E8" s="64">
        <f>Schedules!G69</f>
        <v>-3966195.6107551791</v>
      </c>
      <c r="F8" s="64">
        <f>Schedules!H69</f>
        <v>-6346723.962905556</v>
      </c>
      <c r="G8" s="64">
        <f>Schedules!I69</f>
        <v>-10024856.54873763</v>
      </c>
      <c r="H8" s="64">
        <f>Schedules!J69</f>
        <v>-15687952.029884487</v>
      </c>
      <c r="I8" s="64">
        <f>Schedules!K69</f>
        <v>-24349378.434890524</v>
      </c>
    </row>
    <row r="9" spans="2:9">
      <c r="B9" t="s">
        <v>176</v>
      </c>
      <c r="D9" s="55">
        <v>0</v>
      </c>
      <c r="E9" s="64">
        <v>0</v>
      </c>
      <c r="F9" s="64">
        <v>0</v>
      </c>
      <c r="G9" s="64">
        <v>0</v>
      </c>
      <c r="H9" s="64">
        <v>0</v>
      </c>
      <c r="I9" s="64">
        <v>0</v>
      </c>
    </row>
    <row r="10" spans="2:9">
      <c r="B10" s="1" t="s">
        <v>177</v>
      </c>
      <c r="C10" s="1"/>
      <c r="D10" s="57">
        <f t="shared" ref="D10:I10" si="0">SUM(D5:D9)</f>
        <v>-7435068.2177036814</v>
      </c>
      <c r="E10" s="65">
        <f t="shared" si="0"/>
        <v>1691869.8796557747</v>
      </c>
      <c r="F10" s="65">
        <f t="shared" si="0"/>
        <v>10696458.747423194</v>
      </c>
      <c r="G10" s="65">
        <f t="shared" si="0"/>
        <v>26941898.14761284</v>
      </c>
      <c r="H10" s="65">
        <f t="shared" si="0"/>
        <v>55173617.707638144</v>
      </c>
      <c r="I10" s="65">
        <f t="shared" si="0"/>
        <v>102626189.27456732</v>
      </c>
    </row>
    <row r="11" spans="2:9">
      <c r="D11" s="55"/>
      <c r="E11" s="64"/>
      <c r="F11" s="64"/>
      <c r="G11" s="64"/>
      <c r="H11" s="64"/>
      <c r="I11" s="64"/>
    </row>
    <row r="12" spans="2:9">
      <c r="B12" t="s">
        <v>179</v>
      </c>
      <c r="D12" s="55">
        <f>-Schedules!F76</f>
        <v>-97000000</v>
      </c>
      <c r="E12" s="64">
        <f>-Schedules!G76</f>
        <v>-131000000</v>
      </c>
      <c r="F12" s="64">
        <f>-Schedules!H76</f>
        <v>-154000000</v>
      </c>
      <c r="G12" s="64">
        <f>-Schedules!I76</f>
        <v>-166000000</v>
      </c>
      <c r="H12" s="64">
        <f>-Schedules!J76</f>
        <v>-168000000</v>
      </c>
      <c r="I12" s="64">
        <f>-Schedules!K76</f>
        <v>-170000000</v>
      </c>
    </row>
    <row r="13" spans="2:9">
      <c r="B13" s="1" t="s">
        <v>178</v>
      </c>
      <c r="C13" s="1"/>
      <c r="D13" s="57">
        <f t="shared" ref="D13:I13" si="1">SUM(D12:D12)</f>
        <v>-97000000</v>
      </c>
      <c r="E13" s="65">
        <f t="shared" si="1"/>
        <v>-131000000</v>
      </c>
      <c r="F13" s="65">
        <f t="shared" si="1"/>
        <v>-154000000</v>
      </c>
      <c r="G13" s="65">
        <f t="shared" si="1"/>
        <v>-166000000</v>
      </c>
      <c r="H13" s="65">
        <f t="shared" si="1"/>
        <v>-168000000</v>
      </c>
      <c r="I13" s="65">
        <f t="shared" si="1"/>
        <v>-170000000</v>
      </c>
    </row>
    <row r="14" spans="2:9">
      <c r="D14" s="55"/>
      <c r="E14" s="64"/>
      <c r="F14" s="64"/>
      <c r="G14" s="64"/>
      <c r="H14" s="64"/>
      <c r="I14" s="64"/>
    </row>
    <row r="15" spans="2:9">
      <c r="B15" t="s">
        <v>181</v>
      </c>
      <c r="D15" s="55">
        <f>Schedules!F126</f>
        <v>88500000</v>
      </c>
      <c r="E15" s="64">
        <f>Schedules!G126</f>
        <v>47500000</v>
      </c>
      <c r="F15" s="64">
        <f>Schedules!H126</f>
        <v>0</v>
      </c>
      <c r="G15" s="64">
        <f>Schedules!I126</f>
        <v>0</v>
      </c>
      <c r="H15" s="64">
        <f>Schedules!J126</f>
        <v>0</v>
      </c>
      <c r="I15" s="64">
        <f>Schedules!K126</f>
        <v>0</v>
      </c>
    </row>
    <row r="16" spans="2:9">
      <c r="B16" t="s">
        <v>182</v>
      </c>
      <c r="D16" s="55">
        <v>0</v>
      </c>
      <c r="E16" s="64">
        <v>0</v>
      </c>
      <c r="F16" s="64">
        <v>0</v>
      </c>
      <c r="G16" s="64">
        <v>0</v>
      </c>
      <c r="H16" s="64">
        <v>0</v>
      </c>
      <c r="I16" s="64">
        <v>0</v>
      </c>
    </row>
    <row r="17" spans="2:9">
      <c r="B17" t="s">
        <v>183</v>
      </c>
      <c r="D17" s="55">
        <f>Schedules!F142</f>
        <v>8500000</v>
      </c>
      <c r="E17" s="64">
        <f>Schedules!G142</f>
        <v>0</v>
      </c>
      <c r="F17" s="64">
        <f>Schedules!H142</f>
        <v>0</v>
      </c>
      <c r="G17" s="64">
        <f>Schedules!I142</f>
        <v>0</v>
      </c>
      <c r="H17" s="64">
        <f>Schedules!J142</f>
        <v>0</v>
      </c>
      <c r="I17" s="64">
        <f>Schedules!K142</f>
        <v>0</v>
      </c>
    </row>
    <row r="18" spans="2:9">
      <c r="B18" t="s">
        <v>184</v>
      </c>
      <c r="D18" s="55">
        <f>-Schedules!F143</f>
        <v>-850000</v>
      </c>
      <c r="E18" s="64">
        <f>-Schedules!G143</f>
        <v>-850000</v>
      </c>
      <c r="F18" s="64">
        <f>-Schedules!H143</f>
        <v>-850000</v>
      </c>
      <c r="G18" s="64">
        <f>-Schedules!I143</f>
        <v>-850000</v>
      </c>
      <c r="H18" s="64">
        <f>-Schedules!J143</f>
        <v>-850000</v>
      </c>
      <c r="I18" s="64">
        <f>-Schedules!K143</f>
        <v>-850000</v>
      </c>
    </row>
    <row r="19" spans="2:9">
      <c r="B19" t="s">
        <v>170</v>
      </c>
      <c r="D19" s="55">
        <f>Schedules!F132</f>
        <v>0</v>
      </c>
      <c r="E19" s="64">
        <f>Schedules!G132</f>
        <v>25500000</v>
      </c>
      <c r="F19" s="64">
        <f>Schedules!H132</f>
        <v>0</v>
      </c>
      <c r="G19" s="64">
        <f>Schedules!I132</f>
        <v>0</v>
      </c>
      <c r="H19" s="64">
        <f>Schedules!J132</f>
        <v>0</v>
      </c>
      <c r="I19" s="64">
        <f>Schedules!K132</f>
        <v>0</v>
      </c>
    </row>
    <row r="20" spans="2:9">
      <c r="B20" t="s">
        <v>173</v>
      </c>
      <c r="D20" s="55">
        <f>-Schedules!F147</f>
        <v>-248625</v>
      </c>
      <c r="E20" s="64">
        <f>-Schedules!G147</f>
        <v>-469625</v>
      </c>
      <c r="F20" s="64">
        <f>-Schedules!H147</f>
        <v>-414375</v>
      </c>
      <c r="G20" s="64">
        <f>-Schedules!I147</f>
        <v>-359125</v>
      </c>
      <c r="H20" s="64">
        <f>-Schedules!J147</f>
        <v>-303875</v>
      </c>
      <c r="I20" s="64">
        <f>-Schedules!K147</f>
        <v>-248625</v>
      </c>
    </row>
    <row r="21" spans="2:9">
      <c r="B21" s="1" t="s">
        <v>180</v>
      </c>
      <c r="C21" s="1"/>
      <c r="D21" s="57">
        <f>SUM(D15:D20)</f>
        <v>95901375</v>
      </c>
      <c r="E21" s="65">
        <f t="shared" ref="E21:I21" si="2">SUM(E15:E20)</f>
        <v>71680375</v>
      </c>
      <c r="F21" s="65">
        <f t="shared" si="2"/>
        <v>-1264375</v>
      </c>
      <c r="G21" s="65">
        <f t="shared" si="2"/>
        <v>-1209125</v>
      </c>
      <c r="H21" s="65">
        <f t="shared" si="2"/>
        <v>-1153875</v>
      </c>
      <c r="I21" s="65">
        <f t="shared" si="2"/>
        <v>-1098625</v>
      </c>
    </row>
    <row r="22" spans="2:9">
      <c r="D22" s="55"/>
      <c r="E22" s="64"/>
      <c r="F22" s="64"/>
      <c r="G22" s="64"/>
      <c r="H22" s="64"/>
      <c r="I22" s="64"/>
    </row>
    <row r="23" spans="2:9">
      <c r="B23" s="1" t="s">
        <v>185</v>
      </c>
      <c r="C23" s="1"/>
      <c r="D23" s="55">
        <f t="shared" ref="D23:I23" si="3">SUM(D10,D13,D21)</f>
        <v>-8533693.2177036852</v>
      </c>
      <c r="E23" s="64">
        <f t="shared" si="3"/>
        <v>-57627755.120344222</v>
      </c>
      <c r="F23" s="64">
        <f t="shared" si="3"/>
        <v>-144567916.2525768</v>
      </c>
      <c r="G23" s="64">
        <f t="shared" si="3"/>
        <v>-140267226.85238716</v>
      </c>
      <c r="H23" s="64">
        <f t="shared" si="3"/>
        <v>-113980257.29236186</v>
      </c>
      <c r="I23" s="64">
        <f t="shared" si="3"/>
        <v>-68472435.725432679</v>
      </c>
    </row>
    <row r="24" spans="2:9">
      <c r="B24" s="1" t="s">
        <v>225</v>
      </c>
      <c r="D24" s="55">
        <f>C26</f>
        <v>0</v>
      </c>
      <c r="E24" s="64">
        <f t="shared" ref="E24:I24" si="4">D26</f>
        <v>-8533693.2177036852</v>
      </c>
      <c r="F24" s="64">
        <f t="shared" si="4"/>
        <v>-66161448.338047907</v>
      </c>
      <c r="G24" s="64">
        <f t="shared" si="4"/>
        <v>-210729364.59062469</v>
      </c>
      <c r="H24" s="64">
        <f t="shared" si="4"/>
        <v>-350996591.44301188</v>
      </c>
      <c r="I24" s="64">
        <f t="shared" si="4"/>
        <v>-464976848.73537374</v>
      </c>
    </row>
    <row r="25" spans="2:9" ht="15" thickBot="1">
      <c r="B25" s="1"/>
      <c r="D25" s="55"/>
      <c r="E25" s="64"/>
      <c r="F25" s="64"/>
      <c r="G25" s="64"/>
      <c r="H25" s="64"/>
      <c r="I25" s="64"/>
    </row>
    <row r="26" spans="2:9" ht="15" thickBot="1">
      <c r="B26" s="61" t="s">
        <v>186</v>
      </c>
      <c r="C26" s="61"/>
      <c r="D26" s="75">
        <f t="shared" ref="D26:I26" si="5">D24+D23</f>
        <v>-8533693.2177036852</v>
      </c>
      <c r="E26" s="76">
        <f t="shared" si="5"/>
        <v>-66161448.338047907</v>
      </c>
      <c r="F26" s="76">
        <f t="shared" si="5"/>
        <v>-210729364.59062469</v>
      </c>
      <c r="G26" s="76">
        <f t="shared" si="5"/>
        <v>-350996591.44301188</v>
      </c>
      <c r="H26" s="76">
        <f t="shared" si="5"/>
        <v>-464976848.73537374</v>
      </c>
      <c r="I26" s="76">
        <f t="shared" si="5"/>
        <v>-533449284.46080643</v>
      </c>
    </row>
    <row r="27" spans="2:9" ht="15" thickTop="1">
      <c r="D27" s="55"/>
      <c r="E27" s="55"/>
      <c r="F27" s="55"/>
      <c r="G27" s="55"/>
      <c r="H27" s="55"/>
      <c r="I27" s="55"/>
    </row>
  </sheetData>
  <mergeCells count="1">
    <mergeCell ref="B2:I2"/>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156302-9DA1-4AD3-98AF-8DDABDDAD10B}">
  <dimension ref="A1:J30"/>
  <sheetViews>
    <sheetView showGridLines="0" tabSelected="1" topLeftCell="A3" zoomScale="125" workbookViewId="0">
      <selection activeCell="F14" sqref="F14"/>
    </sheetView>
  </sheetViews>
  <sheetFormatPr defaultColWidth="18" defaultRowHeight="14.4"/>
  <cols>
    <col min="1" max="1" width="4.44140625" bestFit="1" customWidth="1"/>
    <col min="2" max="2" width="23.33203125" bestFit="1" customWidth="1"/>
    <col min="4" max="4" width="21.77734375" bestFit="1" customWidth="1"/>
  </cols>
  <sheetData>
    <row r="1" spans="1:9">
      <c r="B1" s="186" t="s">
        <v>243</v>
      </c>
      <c r="C1" s="186"/>
      <c r="D1" s="186"/>
      <c r="E1" s="186"/>
      <c r="F1" s="186"/>
      <c r="G1" s="186"/>
      <c r="H1" s="186"/>
      <c r="I1" s="186"/>
    </row>
    <row r="2" spans="1:9">
      <c r="B2" s="60"/>
      <c r="C2" s="60"/>
      <c r="D2" s="59">
        <v>2024</v>
      </c>
      <c r="E2" s="59">
        <v>2025</v>
      </c>
      <c r="F2" s="59">
        <v>2026</v>
      </c>
      <c r="G2" s="59">
        <v>2027</v>
      </c>
      <c r="H2" s="59">
        <v>2028</v>
      </c>
      <c r="I2" s="59">
        <v>2029</v>
      </c>
    </row>
    <row r="3" spans="1:9">
      <c r="B3" s="174"/>
      <c r="C3" s="174"/>
      <c r="D3" s="175"/>
      <c r="E3" s="175"/>
      <c r="F3" s="175"/>
      <c r="G3" s="175"/>
      <c r="H3" s="175"/>
      <c r="I3" s="175"/>
    </row>
    <row r="4" spans="1:9">
      <c r="A4" t="s">
        <v>220</v>
      </c>
      <c r="B4" s="180" t="s">
        <v>192</v>
      </c>
      <c r="C4" s="176"/>
      <c r="D4" s="177"/>
      <c r="E4" s="177"/>
      <c r="F4" s="177"/>
      <c r="G4" s="177"/>
      <c r="H4" s="177"/>
      <c r="I4" s="177"/>
    </row>
    <row r="5" spans="1:9">
      <c r="B5" s="181"/>
      <c r="C5" s="174"/>
      <c r="D5" s="175"/>
      <c r="E5" s="175"/>
      <c r="F5" s="175"/>
      <c r="G5" s="175"/>
      <c r="H5" s="175"/>
      <c r="I5" s="175"/>
    </row>
    <row r="6" spans="1:9">
      <c r="B6" s="17" t="s">
        <v>187</v>
      </c>
      <c r="D6" s="55">
        <f>'Income Statement'!D13-'Income Statement'!D17</f>
        <v>-7960886.9667319218</v>
      </c>
      <c r="E6" s="64">
        <f>'Income Statement'!E13-'Income Statement'!E17</f>
        <v>50065.490410952829</v>
      </c>
      <c r="F6" s="64">
        <f>'Income Statement'!F13-'Income Statement'!F17</f>
        <v>11435182.71032875</v>
      </c>
      <c r="G6" s="64">
        <f>'Income Statement'!G13-'Income Statement'!G17</f>
        <v>31358754.69635047</v>
      </c>
      <c r="H6" s="64">
        <f>'Income Statement'!H13-'Income Statement'!H17</f>
        <v>65253569.737522632</v>
      </c>
      <c r="I6" s="64">
        <f>'Income Statement'!I13-'Income Statement'!I17</f>
        <v>121367567.70945784</v>
      </c>
    </row>
    <row r="7" spans="1:9">
      <c r="B7" s="17" t="s">
        <v>188</v>
      </c>
      <c r="D7" s="55">
        <f>'Income Statement'!D12</f>
        <v>5608000.0000000009</v>
      </c>
      <c r="E7" s="64">
        <f>'Income Statement'!E12</f>
        <v>5608000.0000000009</v>
      </c>
      <c r="F7" s="64">
        <f>'Income Statement'!F12</f>
        <v>5608000.0000000009</v>
      </c>
      <c r="G7" s="64">
        <f>'Income Statement'!G12</f>
        <v>5608000.0000000009</v>
      </c>
      <c r="H7" s="64">
        <f>'Income Statement'!H12</f>
        <v>5608000.0000000009</v>
      </c>
      <c r="I7" s="64">
        <f>'Income Statement'!I12</f>
        <v>5608000.0000000009</v>
      </c>
    </row>
    <row r="8" spans="1:9">
      <c r="B8" s="17" t="s">
        <v>189</v>
      </c>
      <c r="D8" s="55">
        <f>Schedules!F69</f>
        <v>-5330806.2509717606</v>
      </c>
      <c r="E8" s="64">
        <f>Schedules!G69</f>
        <v>-3966195.6107551791</v>
      </c>
      <c r="F8" s="64">
        <f>Schedules!H69</f>
        <v>-6346723.962905556</v>
      </c>
      <c r="G8" s="64">
        <f>Schedules!I69</f>
        <v>-10024856.54873763</v>
      </c>
      <c r="H8" s="64">
        <f>Schedules!J69</f>
        <v>-15687952.029884487</v>
      </c>
      <c r="I8" s="64">
        <f>Schedules!K69</f>
        <v>-24349378.434890524</v>
      </c>
    </row>
    <row r="9" spans="1:9">
      <c r="B9" s="17" t="s">
        <v>190</v>
      </c>
      <c r="D9" s="55">
        <f>Schedules!F76-Schedules!E76</f>
        <v>97000000</v>
      </c>
      <c r="E9" s="55">
        <f>Schedules!G76-Schedules!F76</f>
        <v>34000000</v>
      </c>
      <c r="F9" s="55">
        <f>Schedules!H76-Schedules!G76</f>
        <v>23000000</v>
      </c>
      <c r="G9" s="55">
        <f>Schedules!I76-Schedules!H76</f>
        <v>12000000</v>
      </c>
      <c r="H9" s="55">
        <f>Schedules!J76-Schedules!I76</f>
        <v>2000000</v>
      </c>
      <c r="I9" s="55">
        <f>Schedules!K76-Schedules!J76</f>
        <v>2000000</v>
      </c>
    </row>
    <row r="10" spans="1:9">
      <c r="B10" s="17"/>
      <c r="D10" s="55"/>
      <c r="E10" s="64"/>
      <c r="F10" s="64"/>
      <c r="G10" s="64"/>
      <c r="H10" s="64"/>
      <c r="I10" s="64"/>
    </row>
    <row r="11" spans="1:9">
      <c r="B11" s="18" t="s">
        <v>191</v>
      </c>
      <c r="D11" s="55">
        <f t="shared" ref="D11:I11" si="0">D6+D7+D8-D9</f>
        <v>-104683693.21770369</v>
      </c>
      <c r="E11" s="64">
        <f t="shared" si="0"/>
        <v>-32308130.120344225</v>
      </c>
      <c r="F11" s="64">
        <f t="shared" si="0"/>
        <v>-12303541.252576806</v>
      </c>
      <c r="G11" s="64">
        <f t="shared" si="0"/>
        <v>14941898.14761284</v>
      </c>
      <c r="H11" s="64">
        <f t="shared" si="0"/>
        <v>53173617.707638144</v>
      </c>
      <c r="I11" s="64">
        <f t="shared" si="0"/>
        <v>100626189.27456732</v>
      </c>
    </row>
    <row r="12" spans="1:9">
      <c r="B12" s="17"/>
    </row>
    <row r="13" spans="1:9">
      <c r="B13" s="38" t="s">
        <v>192</v>
      </c>
      <c r="C13" s="36"/>
      <c r="D13" s="39">
        <f>IRR(D11:I11)</f>
        <v>3.0120004712310688E-2</v>
      </c>
    </row>
    <row r="14" spans="1:9">
      <c r="B14" s="17"/>
    </row>
    <row r="15" spans="1:9">
      <c r="B15" s="17"/>
    </row>
    <row r="16" spans="1:9">
      <c r="B16" s="17"/>
    </row>
    <row r="17" spans="1:10">
      <c r="A17" t="s">
        <v>220</v>
      </c>
      <c r="B17" s="178" t="s">
        <v>207</v>
      </c>
      <c r="C17" s="179"/>
      <c r="D17" s="179"/>
      <c r="E17" s="179"/>
      <c r="F17" s="179"/>
      <c r="G17" s="179"/>
      <c r="H17" s="179"/>
      <c r="I17" s="179"/>
    </row>
    <row r="19" spans="1:10">
      <c r="B19" t="s">
        <v>193</v>
      </c>
      <c r="C19" s="7">
        <f>Schedules!E146</f>
        <v>6.5000000000000002E-2</v>
      </c>
    </row>
    <row r="20" spans="1:10">
      <c r="B20" t="s">
        <v>194</v>
      </c>
      <c r="C20" s="7">
        <f>Schedules!C152</f>
        <v>0.25</v>
      </c>
    </row>
    <row r="21" spans="1:10" ht="19.05" customHeight="1">
      <c r="A21" s="2">
        <v>0.05</v>
      </c>
      <c r="B21" t="s">
        <v>195</v>
      </c>
      <c r="C21" s="7">
        <f>C19*(1-C20)</f>
        <v>4.8750000000000002E-2</v>
      </c>
      <c r="E21" s="187" t="s">
        <v>197</v>
      </c>
      <c r="F21" s="188"/>
      <c r="H21" s="187" t="s">
        <v>198</v>
      </c>
      <c r="I21" s="189"/>
      <c r="J21" s="188"/>
    </row>
    <row r="22" spans="1:10" ht="27.45" customHeight="1">
      <c r="C22" s="7"/>
      <c r="E22" s="24" t="s">
        <v>199</v>
      </c>
      <c r="F22" s="25" t="s">
        <v>200</v>
      </c>
      <c r="H22" s="40" t="s">
        <v>201</v>
      </c>
      <c r="I22" s="41"/>
      <c r="J22" s="173">
        <v>6.8669999999999995E-2</v>
      </c>
    </row>
    <row r="23" spans="1:10">
      <c r="B23" t="s">
        <v>196</v>
      </c>
      <c r="C23" s="7">
        <f>F28-J24</f>
        <v>8.1240000000000007E-2</v>
      </c>
      <c r="E23" s="21">
        <v>2023</v>
      </c>
      <c r="F23" s="172">
        <v>0.19409999999999999</v>
      </c>
      <c r="H23" s="184" t="s">
        <v>202</v>
      </c>
      <c r="I23" s="185"/>
      <c r="J23" s="173">
        <v>6.7890000000000006E-2</v>
      </c>
    </row>
    <row r="24" spans="1:10">
      <c r="B24" t="s">
        <v>249</v>
      </c>
      <c r="C24" s="183">
        <v>0.6</v>
      </c>
      <c r="E24" s="21">
        <v>2022</v>
      </c>
      <c r="F24" s="172">
        <v>4.3200000000000002E-2</v>
      </c>
      <c r="H24" s="27" t="s">
        <v>204</v>
      </c>
      <c r="I24" s="28" t="s">
        <v>205</v>
      </c>
      <c r="J24" s="29">
        <v>6.83E-2</v>
      </c>
    </row>
    <row r="25" spans="1:10">
      <c r="A25" s="2"/>
      <c r="B25" t="s">
        <v>248</v>
      </c>
      <c r="C25" s="7">
        <f>J24</f>
        <v>6.83E-2</v>
      </c>
      <c r="E25" s="21">
        <v>2021</v>
      </c>
      <c r="F25" s="172">
        <v>0.2412</v>
      </c>
    </row>
    <row r="26" spans="1:10" ht="16.05" customHeight="1">
      <c r="A26" s="2">
        <v>0.8</v>
      </c>
      <c r="B26" t="s">
        <v>250</v>
      </c>
      <c r="C26" s="7">
        <f>C25+(C24*C23)</f>
        <v>0.11704400000000001</v>
      </c>
      <c r="E26" s="21">
        <v>2020</v>
      </c>
      <c r="F26" s="172">
        <v>0.14899999999999999</v>
      </c>
    </row>
    <row r="27" spans="1:10">
      <c r="A27" s="2">
        <v>0.15</v>
      </c>
      <c r="B27" t="s">
        <v>203</v>
      </c>
      <c r="C27" s="55">
        <v>0</v>
      </c>
      <c r="E27" s="21">
        <v>2019</v>
      </c>
      <c r="F27" s="172">
        <v>0.1202</v>
      </c>
    </row>
    <row r="28" spans="1:10">
      <c r="B28" s="36" t="s">
        <v>206</v>
      </c>
      <c r="C28" s="37">
        <f>A21*C21+A26*C26+A27*C27</f>
        <v>9.6072700000000011E-2</v>
      </c>
      <c r="E28" s="22" t="s">
        <v>205</v>
      </c>
      <c r="F28" s="23">
        <f>AVERAGE(F23:F27)</f>
        <v>0.14954000000000001</v>
      </c>
    </row>
    <row r="30" spans="1:10">
      <c r="B30" s="26" t="s">
        <v>207</v>
      </c>
      <c r="C30" s="171">
        <f>NPV(C28,D11:I11)</f>
        <v>-29746212.443665341</v>
      </c>
    </row>
  </sheetData>
  <mergeCells count="4">
    <mergeCell ref="H23:I23"/>
    <mergeCell ref="B1:I1"/>
    <mergeCell ref="E21:F21"/>
    <mergeCell ref="H21:J21"/>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B034A-875F-4F7C-8D8F-D3D8EC9D8541}">
  <dimension ref="A1:F44"/>
  <sheetViews>
    <sheetView showGridLines="0" zoomScale="51" workbookViewId="0">
      <selection activeCell="AI48" sqref="AI48"/>
    </sheetView>
  </sheetViews>
  <sheetFormatPr defaultColWidth="8.77734375" defaultRowHeight="14.4"/>
  <cols>
    <col min="1" max="1" width="1.77734375" customWidth="1"/>
  </cols>
  <sheetData>
    <row r="1" spans="1:6">
      <c r="B1" s="13" t="s">
        <v>246</v>
      </c>
      <c r="C1" s="13"/>
      <c r="D1" s="13"/>
      <c r="E1" s="13"/>
      <c r="F1" s="13"/>
    </row>
    <row r="3" spans="1:6">
      <c r="A3" t="s">
        <v>220</v>
      </c>
    </row>
    <row r="11" spans="1:6">
      <c r="A11" t="s">
        <v>220</v>
      </c>
    </row>
    <row r="22" spans="1:1">
      <c r="A22" t="s">
        <v>220</v>
      </c>
    </row>
    <row r="31" spans="1:1">
      <c r="A31" t="s">
        <v>220</v>
      </c>
    </row>
    <row r="37" spans="1:1">
      <c r="A37" t="s">
        <v>220</v>
      </c>
    </row>
    <row r="44" spans="1:1">
      <c r="A44" s="13" t="s">
        <v>220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About us </vt:lpstr>
      <vt:lpstr>Index</vt:lpstr>
      <vt:lpstr>Assumption</vt:lpstr>
      <vt:lpstr>Schedules</vt:lpstr>
      <vt:lpstr>Income Statement</vt:lpstr>
      <vt:lpstr>Balance Sheet</vt:lpstr>
      <vt:lpstr>Cash Flow Statement</vt:lpstr>
      <vt:lpstr>Output Analysis-NPV_IRR</vt:lpstr>
      <vt:lpstr>References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Yash Agarwal</dc:creator>
  <cp:keywords/>
  <dc:description/>
  <cp:lastModifiedBy>Yash Agarwal</cp:lastModifiedBy>
  <cp:revision/>
  <cp:lastPrinted>2026-02-17T19:45:09Z</cp:lastPrinted>
  <dcterms:created xsi:type="dcterms:W3CDTF">2024-08-25T13:10:26Z</dcterms:created>
  <dcterms:modified xsi:type="dcterms:W3CDTF">2026-02-17T19:47:00Z</dcterms:modified>
  <cp:category/>
  <cp:contentStatus/>
</cp:coreProperties>
</file>